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
      <name val="Calibri"/>
      <b val="1"/>
      <sz val="11"/>
    </font>
    <font>
      <name val="Segoe UI"/>
      <b val="1"/>
      <color rgb="001E293B"/>
      <sz val="11"/>
    </font>
    <font>
      <name val="Calibri"/>
      <b val="1"/>
      <color rgb="000F172A"/>
      <sz val="10"/>
    </font>
    <font>
      <name val="Calibri"/>
      <color rgb="001E293B"/>
      <sz val="10"/>
    </font>
    <font>
      <name val="Calibri"/>
      <b val="1"/>
      <color rgb="0016A34A"/>
      <sz val="10"/>
    </font>
    <font>
      <name val="Calibri"/>
      <b val="1"/>
      <color rgb="00991B1B"/>
      <sz val="11"/>
    </font>
    <font>
      <name val="Calibri"/>
      <b val="1"/>
      <color rgb="001E293B"/>
      <sz val="10"/>
    </font>
    <font>
      <name val="Calibri"/>
      <b val="1"/>
      <color rgb="00D97706"/>
      <sz val="11"/>
    </font>
    <font>
      <name val="Calibri"/>
      <b val="1"/>
      <color rgb="004B5563"/>
      <sz val="11"/>
    </font>
  </fonts>
  <fills count="16">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
      <patternFill patternType="solid">
        <fgColor rgb="FFF0FDF4"/>
        <bgColor rgb="FFF0FDF4"/>
      </patternFill>
    </fill>
    <fill>
      <patternFill patternType="solid">
        <fgColor rgb="FFE0E7FF"/>
        <bgColor rgb="FFE0E7FF"/>
      </patternFill>
    </fill>
    <fill>
      <patternFill patternType="solid">
        <fgColor rgb="FFF1F5F9"/>
        <bgColor rgb="FFF1F5F9"/>
      </patternFill>
    </fill>
    <fill>
      <patternFill patternType="solid">
        <fgColor rgb="FFFEE2E2"/>
        <bgColor rgb="FFFEE2E2"/>
      </patternFill>
    </fill>
    <fill>
      <patternFill patternType="solid">
        <fgColor rgb="FFFEF3C7"/>
        <bgColor rgb="FFFEF3C7"/>
      </patternFill>
    </fill>
    <fill>
      <patternFill patternType="solid">
        <fgColor rgb="FFFFFBEB"/>
        <bgColor rgb="FFFFFBEB"/>
      </patternFill>
    </fill>
    <fill>
      <patternFill patternType="solid">
        <fgColor rgb="FFF3F4F6"/>
        <bgColor rgb="FFF3F4F6"/>
      </patternFill>
    </fill>
  </fills>
  <borders count="14">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
      <left style="thin">
        <color rgb="FFD1D5DB"/>
      </left>
      <right style="thin">
        <color rgb="FFD1D5DB"/>
      </right>
      <top style="thin">
        <color rgb="FFD1D5DB"/>
      </top>
      <bottom style="thin">
        <color rgb="FFD1D5DB"/>
      </bottom>
    </border>
    <border>
      <left style="thin">
        <color rgb="FFCBD5E1"/>
      </left>
      <right style="thin">
        <color rgb="FFCBD5E1"/>
      </right>
      <top style="thin">
        <color rgb="FFCBD5E1"/>
      </top>
      <bottom style="thin">
        <color rgb="FFCBD5E1"/>
      </bottom>
    </border>
    <border>
      <left style="thin">
        <color rgb="FFCBD5E1"/>
      </left>
      <right style="thin">
        <color rgb="FFCBD5E1"/>
      </right>
      <top style="thin">
        <color rgb="FFCBD5E1"/>
      </top>
      <bottom style="double">
        <color rgb="FF0F172A"/>
      </bottom>
    </border>
    <border>
      <left/>
      <right/>
      <top style="thin">
        <color rgb="FFCBD5E1"/>
      </top>
      <bottom/>
      <diagonal/>
    </border>
    <border>
      <left/>
      <right style="thin">
        <color rgb="FFCBD5E1"/>
      </right>
      <top style="thin">
        <color rgb="FFCBD5E1"/>
      </top>
      <bottom/>
      <diagonal/>
    </border>
    <border>
      <left/>
      <right/>
      <top style="thin">
        <color rgb="FFCBD5E1"/>
      </top>
      <bottom style="double">
        <color rgb="FF0F172A"/>
      </bottom>
      <diagonal/>
    </border>
    <border>
      <left/>
      <right style="thin">
        <color rgb="FFCBD5E1"/>
      </right>
      <top style="thin">
        <color rgb="FFCBD5E1"/>
      </top>
      <bottom style="double">
        <color rgb="FF0F172A"/>
      </bottom>
      <diagonal/>
    </border>
  </borders>
  <cellStyleXfs count="1">
    <xf numFmtId="0" fontId="0" fillId="0" borderId="0"/>
  </cellStyleXfs>
  <cellXfs count="8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xf numFmtId="0" fontId="22" fillId="0" borderId="7" applyAlignment="1" pivotButton="0" quotePrefix="0" xfId="0">
      <alignment horizontal="center" vertical="center"/>
    </xf>
    <xf numFmtId="0" fontId="21" fillId="9" borderId="7" applyAlignment="1" pivotButton="0" quotePrefix="0" xfId="0">
      <alignment horizontal="center" vertical="center"/>
    </xf>
    <xf numFmtId="0" fontId="23" fillId="10" borderId="0" applyAlignment="1" pivotButton="0" quotePrefix="0" xfId="0">
      <alignment horizontal="left" vertical="center" wrapText="1"/>
    </xf>
    <xf numFmtId="0" fontId="24" fillId="11" borderId="8" applyAlignment="1" pivotButton="0" quotePrefix="0" xfId="0">
      <alignment horizontal="center" vertical="center"/>
    </xf>
    <xf numFmtId="0" fontId="24" fillId="11" borderId="8" applyAlignment="1" pivotButton="0" quotePrefix="0" xfId="0">
      <alignment horizontal="left" vertical="center" wrapText="1"/>
    </xf>
    <xf numFmtId="0" fontId="25" fillId="0" borderId="8" applyAlignment="1" pivotButton="0" quotePrefix="0" xfId="0">
      <alignment horizontal="center" vertical="center"/>
    </xf>
    <xf numFmtId="0" fontId="25" fillId="0" borderId="8" applyAlignment="1" pivotButton="0" quotePrefix="0" xfId="0">
      <alignment horizontal="left" vertical="center" wrapText="1"/>
    </xf>
    <xf numFmtId="0" fontId="26" fillId="9" borderId="8" applyAlignment="1" pivotButton="0" quotePrefix="0" xfId="0">
      <alignment horizontal="center" vertical="center"/>
    </xf>
    <xf numFmtId="0" fontId="27" fillId="12" borderId="9" applyAlignment="1" pivotButton="0" quotePrefix="0" xfId="0">
      <alignment horizontal="right" vertical="center"/>
    </xf>
    <xf numFmtId="0" fontId="0" fillId="0" borderId="9" pivotButton="0" quotePrefix="0" xfId="0"/>
    <xf numFmtId="0" fontId="27" fillId="12" borderId="9" applyAlignment="1" pivotButton="0" quotePrefix="0" xfId="0">
      <alignment horizontal="center" vertical="center"/>
    </xf>
    <xf numFmtId="0" fontId="26" fillId="12" borderId="9" applyAlignment="1" pivotButton="0" quotePrefix="0" xfId="0">
      <alignment horizontal="center" vertical="center"/>
    </xf>
    <xf numFmtId="0" fontId="0" fillId="12" borderId="9" pivotButton="0" quotePrefix="0" xfId="0"/>
    <xf numFmtId="0" fontId="23" fillId="13" borderId="0" applyAlignment="1" pivotButton="0" quotePrefix="0" xfId="0">
      <alignment horizontal="left" vertical="center" wrapText="1"/>
    </xf>
    <xf numFmtId="0" fontId="28" fillId="0" borderId="8" applyAlignment="1" pivotButton="0" quotePrefix="0" xfId="0">
      <alignment horizontal="center" vertical="center"/>
    </xf>
    <xf numFmtId="0" fontId="28" fillId="12" borderId="9" pivotButton="0" quotePrefix="0" xfId="0"/>
    <xf numFmtId="0" fontId="2" fillId="0" borderId="7" applyAlignment="1" pivotButton="0" quotePrefix="0" xfId="0">
      <alignment horizontal="center" vertical="center"/>
    </xf>
    <xf numFmtId="0" fontId="0" fillId="0" borderId="7" applyAlignment="1" pivotButton="0" quotePrefix="0" xfId="0">
      <alignment horizontal="center" vertical="center"/>
    </xf>
    <xf numFmtId="0" fontId="0" fillId="0" borderId="7" applyAlignment="1" pivotButton="0" quotePrefix="0" xfId="0">
      <alignment horizontal="left" vertical="center" wrapText="1"/>
    </xf>
    <xf numFmtId="2" fontId="0" fillId="0" borderId="7" applyAlignment="1" pivotButton="0" quotePrefix="0" xfId="0">
      <alignment horizontal="center" vertical="center"/>
    </xf>
    <xf numFmtId="0" fontId="29" fillId="14" borderId="7" applyAlignment="1" pivotButton="0" quotePrefix="0" xfId="0">
      <alignment horizontal="center" vertical="center"/>
    </xf>
    <xf numFmtId="0" fontId="30" fillId="15" borderId="7" applyAlignment="1" pivotButton="0" quotePrefix="0" xfId="0">
      <alignment horizontal="center" vertical="center"/>
    </xf>
    <xf numFmtId="0" fontId="0" fillId="0" borderId="12" pivotButton="0" quotePrefix="0" xfId="0"/>
    <xf numFmtId="0" fontId="0" fillId="0" borderId="13" pivotButton="0" quotePrefix="0" xfId="0"/>
    <xf numFmtId="0" fontId="23" fillId="10" borderId="0" pivotButton="0" quotePrefix="0" xfId="0"/>
    <xf numFmtId="0" fontId="24" fillId="11" borderId="7" applyAlignment="1" pivotButton="0" quotePrefix="0" xfId="0">
      <alignment horizontal="center" vertical="center"/>
    </xf>
    <xf numFmtId="0" fontId="25" fillId="0" borderId="7" applyAlignment="1" pivotButton="0" quotePrefix="0" xfId="0">
      <alignment horizontal="center" vertical="center"/>
    </xf>
    <xf numFmtId="0" fontId="25" fillId="0" borderId="7" applyAlignment="1" pivotButton="0" quotePrefix="0" xfId="0">
      <alignment horizontal="left" vertical="center" wrapText="1"/>
    </xf>
    <xf numFmtId="0" fontId="30" fillId="0" borderId="7" applyAlignment="1" pivotButton="0" quotePrefix="0" xfId="0">
      <alignment horizontal="center" vertical="center"/>
    </xf>
    <xf numFmtId="0" fontId="23" fillId="13" borderId="0" pivotButton="0" quotePrefix="0" xfId="0"/>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52" t="inlineStr">
        <is>
          <t>Hoàn thành</t>
        </is>
      </c>
      <c r="J16" s="11" t="inlineStr">
        <is>
          <t>Cao</t>
        </is>
      </c>
      <c r="K16" s="12" t="inlineStr">
        <is>
          <t>Đã hoàn thành: 2 Banner zoom từ tâm 0-&gt;1, cấu hình SCF Theme Settings</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52" t="inlineStr">
        <is>
          <t>Hoàn thành</t>
        </is>
      </c>
      <c r="J19" s="11" t="inlineStr">
        <is>
          <t>Cao</t>
        </is>
      </c>
      <c r="K19" s="12" t="inlineStr">
        <is>
          <t>Đã hoàn thành: Thuộc tính xe đạp, nhãn giảm giá ⚡ Giảm X%, lưới 5 cột hoàn chỉnh</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52" t="inlineStr">
        <is>
          <t>Hoàn thành</t>
        </is>
      </c>
      <c r="J20" s="11" t="inlineStr">
        <is>
          <t>Trung bình</t>
        </is>
      </c>
      <c r="K20" s="12" t="inlineStr">
        <is>
          <t>Đã hoàn thành: Phân trang WooCommerce ô vuông đỏ bo góc chuẩn Flatsome</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52" t="inlineStr">
        <is>
          <t>Hoàn thành</t>
        </is>
      </c>
      <c r="J21" s="11" t="inlineStr">
        <is>
          <t>Trung bình</t>
        </is>
      </c>
      <c r="K21" s="12" t="inlineStr">
        <is>
          <t>Đã hoàn thành: Tiêu đề viền nét đứt dashed #ccc, nội dung SCF Theme Settings</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52" t="inlineStr">
        <is>
          <t>Hoàn thành</t>
        </is>
      </c>
      <c r="J22" s="11" t="inlineStr">
        <is>
          <t>Trung bình</t>
        </is>
      </c>
      <c r="K22" s="12" t="inlineStr">
        <is>
          <t>Đã hoàn thành: 4 cam kết dịch vụ chân trang chuẩn mockup</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52" t="inlineStr">
        <is>
          <t>Hoàn thành</t>
        </is>
      </c>
      <c r="J23" s="11" t="inlineStr">
        <is>
          <t>Cao</t>
        </is>
      </c>
      <c r="K23" s="12" t="inlineStr">
        <is>
          <t>Đã hoàn thành: Responsive mượt mà trên Mobile &amp; Tablet, tải trang nhanh</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40" customHeight="1">
      <c r="A25" s="10" t="n">
        <v>21</v>
      </c>
      <c r="B25" s="11" t="inlineStr">
        <is>
          <t>2026-09-08</t>
        </is>
      </c>
      <c r="C25" s="11" t="inlineStr">
        <is>
          <t>Task SP-02 (Hoàn thiện)</t>
        </is>
      </c>
      <c r="D25" s="51" t="inlineStr">
        <is>
          <t>Hoàn thiện Các trường thêm (SCF Theme Settings: 2 Banner zoom từ tâm, Khối SEO chân trang nét đứt) &amp; Nghiệm thu toàn bộ Trang Sản Phẩm</t>
        </is>
      </c>
      <c r="E25" s="11" t="inlineStr">
        <is>
          <t>Developer</t>
        </is>
      </c>
      <c r="F25" s="11" t="inlineStr">
        <is>
          <t>09:30</t>
        </is>
      </c>
      <c r="G25" s="11" t="inlineStr">
        <is>
          <t>11:15</t>
        </is>
      </c>
      <c r="H25" s="13">
        <f>IF(AND(F25&lt;&gt;"",G25&lt;&gt;""),(G25-F25)*24,"")</f>
        <v/>
      </c>
      <c r="I25" s="52" t="inlineStr">
        <is>
          <t>Hoàn thành</t>
        </is>
      </c>
      <c r="J25" s="11" t="inlineStr">
        <is>
          <t>Cao</t>
        </is>
      </c>
      <c r="K25" s="51" t="inlineStr">
        <is>
          <t>Khắc phục triệt để lỗi syntax chặn nạp SCF/Theme Settings; cấu hình 2 banner zoom từ tâm 0-&gt;1 và khối SEO chân trang kèm đường viền nét đứt chuẩn ảnh mockup; hoàn tất 100% trang Sản Phẩm.</t>
        </is>
      </c>
    </row>
    <row r="26" ht="42" customHeight="1">
      <c r="A26" s="69" t="n">
        <v>22</v>
      </c>
      <c r="B26" s="70" t="inlineStr">
        <is>
          <t>2026-09-08</t>
        </is>
      </c>
      <c r="C26" s="70" t="inlineStr">
        <is>
          <t>Task FT-01</t>
        </is>
      </c>
      <c r="D26" s="71" t="inlineStr">
        <is>
          <t>Nâng cấp hoàn thiện Footer chuẩn Mockup (Trust Badges đỏ #d0021b, box 4 Showroom, tiện ích, hotline, MXH, logo BCT &amp; form email)</t>
        </is>
      </c>
      <c r="E26" s="70" t="inlineStr">
        <is>
          <t>Developer</t>
        </is>
      </c>
      <c r="F26" s="70" t="inlineStr">
        <is>
          <t>11:30</t>
        </is>
      </c>
      <c r="G26" s="70" t="n"/>
      <c r="H26" s="72">
        <f>IF(AND(F26&lt;&gt;"",G26&lt;&gt;""),(G26-F26)*24,"")</f>
        <v/>
      </c>
      <c r="I26" s="73" t="inlineStr">
        <is>
          <t>Đang thực hiện</t>
        </is>
      </c>
      <c r="J26" s="70" t="inlineStr">
        <is>
          <t>Cao</t>
        </is>
      </c>
      <c r="K26" s="71" t="inlineStr">
        <is>
          <t>Triển khai 5 Subtask nâng cấp từ hiện trạng ảnh 2 đạt 100% chuẩn mẫu ảnh 1: Badges đỏ, box 4 showroom, tiện ích, hotline phân màu, logo BCT, form email.</t>
        </is>
      </c>
    </row>
    <row r="27" ht="38" customHeight="1">
      <c r="A27" s="69" t="n">
        <v>23</v>
      </c>
      <c r="B27" s="70" t="inlineStr">
        <is>
          <t>2026-09-08</t>
        </is>
      </c>
      <c r="C27" s="70" t="inlineStr">
        <is>
          <t>Task HD-01</t>
        </is>
      </c>
      <c r="D27" s="71" t="inlineStr">
        <is>
          <t>Xây dựng Header Đa Tầng tổng hợp (Ghép từ nhiều nguồn giao diện theo yêu cầu thiết kế)</t>
        </is>
      </c>
      <c r="E27" s="70" t="inlineStr">
        <is>
          <t>Developer</t>
        </is>
      </c>
      <c r="F27" s="70" t="n"/>
      <c r="G27" s="70" t="n"/>
      <c r="H27" s="72">
        <f>IF(AND(F27&lt;&gt;"",G27&lt;&gt;""),(G27-F27)*24,"")</f>
        <v/>
      </c>
      <c r="I27" s="74" t="inlineStr">
        <is>
          <t>Chờ thực hiện</t>
        </is>
      </c>
      <c r="J27" s="70" t="inlineStr">
        <is>
          <t>Cao</t>
        </is>
      </c>
      <c r="K27" s="71" t="inlineStr">
        <is>
          <t>Tiếp nhận và tổng hợp các nguồn tư liệu Header từ người dùng; phân tích wireframe đa tầng và tiến hành triển khai sau khi xong Footer.</t>
        </is>
      </c>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row r="32" ht="28" customHeight="1">
      <c r="A32" s="55" t="inlineStr">
        <is>
          <t>IV. BẢNG TỔNG KẾT THỜI GIAN THEO NGÀY (DAILY TIME TRACKING SUMMARY)</t>
        </is>
      </c>
    </row>
    <row r="33" ht="26" customHeight="1">
      <c r="A33" s="56" t="inlineStr">
        <is>
          <t>STT</t>
        </is>
      </c>
      <c r="B33" s="56" t="inlineStr">
        <is>
          <t>Ngày Làm Việc</t>
        </is>
      </c>
      <c r="C33" s="56" t="inlineStr">
        <is>
          <t>Số Lượng Task</t>
        </is>
      </c>
      <c r="D33" s="57" t="inlineStr">
        <is>
          <t>Nội Dung Công Việc Trọng Tâm Trong Ngày</t>
        </is>
      </c>
      <c r="E33" s="56" t="inlineStr">
        <is>
          <t>Người Phụ Trách</t>
        </is>
      </c>
      <c r="F33" s="56" t="inlineStr">
        <is>
          <t>Khung Giờ Bắt Đầu</t>
        </is>
      </c>
      <c r="G33" s="56" t="inlineStr">
        <is>
          <t>Khung Giờ Kết Thúc</t>
        </is>
      </c>
      <c r="H33" s="56" t="inlineStr">
        <is>
          <t>Tổng Giờ (h)</t>
        </is>
      </c>
      <c r="I33" s="56" t="inlineStr">
        <is>
          <t>Trạng Thái</t>
        </is>
      </c>
      <c r="J33" s="56" t="inlineStr">
        <is>
          <t>Mức Độ Hoàn Thành</t>
        </is>
      </c>
      <c r="K33" s="57" t="inlineStr">
        <is>
          <t>Đánh Giá Tiến Độ &amp; Kết Quả Bàn Giao</t>
        </is>
      </c>
    </row>
    <row r="34" ht="36" customHeight="1">
      <c r="A34" s="58" t="n">
        <v>1</v>
      </c>
      <c r="B34" s="58" t="inlineStr">
        <is>
          <t>2026-09-07</t>
        </is>
      </c>
      <c r="C34" s="58" t="inlineStr">
        <is>
          <t>13 Task</t>
        </is>
      </c>
      <c r="D34" s="59" t="inlineStr">
        <is>
          <t>Khởi tạo Taxonomy/Attributes + Hoàn thành 10 Task Trang Chủ + Khởi động Trang Sản Phẩm (Breadcrumb, Bộ lọc, Sắp xếp)</t>
        </is>
      </c>
      <c r="E34" s="58" t="inlineStr">
        <is>
          <t>Developer</t>
        </is>
      </c>
      <c r="F34" s="58" t="inlineStr">
        <is>
          <t>08:00</t>
        </is>
      </c>
      <c r="G34" s="58" t="inlineStr">
        <is>
          <t>21:45</t>
        </is>
      </c>
      <c r="H34" s="58">
        <f>SUMIF(B$5:B$29, "2026-09-07", H$5:H$29)</f>
        <v/>
      </c>
      <c r="I34" s="60" t="inlineStr">
        <is>
          <t>Hoàn thành</t>
        </is>
      </c>
      <c r="J34" s="60" t="inlineStr">
        <is>
          <t>100% Đạt mục tiêu</t>
        </is>
      </c>
      <c r="K34" s="59" t="inlineStr">
        <is>
          <t>Hoàn tất toàn bộ 10 khối Trang Chủ, cấu hình dữ liệu nền tảng và dựng khung sườn phân cấp Trang Sản Phẩm.</t>
        </is>
      </c>
    </row>
    <row r="35" ht="36" customHeight="1">
      <c r="A35" s="58" t="n">
        <v>2</v>
      </c>
      <c r="B35" s="58" t="inlineStr">
        <is>
          <t>2026-09-08</t>
        </is>
      </c>
      <c r="C35" s="58" t="inlineStr">
        <is>
          <t>2 Task lớn</t>
        </is>
      </c>
      <c r="D35" s="59" t="inlineStr">
        <is>
          <t>Hoàn thiện Trang Sản Phẩm: Đóng gói gobike-product-filter.php (5 khoảng giá, sắp xếp radio, fix no-products), Cặp Banner zoom từ tâm, Khối SEO chân trang nét đứt, SCF Theme Settings &amp; Push GitHub</t>
        </is>
      </c>
      <c r="E35" s="58" t="inlineStr">
        <is>
          <t>Developer</t>
        </is>
      </c>
      <c r="F35" s="58" t="inlineStr">
        <is>
          <t>08:00</t>
        </is>
      </c>
      <c r="G35" s="58" t="inlineStr">
        <is>
          <t>11:15</t>
        </is>
      </c>
      <c r="H35" s="58">
        <f>SUMIF(B$5:B$29, "2026-09-08", H$5:H$29)</f>
        <v/>
      </c>
      <c r="I35" s="60" t="inlineStr">
        <is>
          <t>Hoàn thành</t>
        </is>
      </c>
      <c r="J35" s="60" t="inlineStr">
        <is>
          <t>100% Đạt mục tiêu</t>
        </is>
      </c>
      <c r="K35" s="59" t="inlineStr">
        <is>
          <t>Nghiệm thu trọn vẹn 100% Trang Sản Phẩm theo mockup; loại bỏ triệt để lỗi syntax chặn load code, đồng bộ mã nguồn lên Git.</t>
        </is>
      </c>
    </row>
    <row r="36" ht="26" customHeight="1">
      <c r="A36" s="61" t="inlineStr">
        <is>
          <t>TỔNG CỘNG THỜI GIAN LÀM VIỆC CẢ 2 NGÀY (GIỜ):</t>
        </is>
      </c>
      <c r="B36" s="75" t="n"/>
      <c r="C36" s="75" t="n"/>
      <c r="D36" s="75" t="n"/>
      <c r="E36" s="75" t="n"/>
      <c r="F36" s="75" t="n"/>
      <c r="G36" s="76" t="n"/>
      <c r="H36" s="63">
        <f>SUM(H34:H35)</f>
        <v/>
      </c>
      <c r="I36" s="64" t="inlineStr">
        <is>
          <t>100% XONG</t>
        </is>
      </c>
      <c r="J36" s="64" t="inlineStr">
        <is>
          <t>ĐÚNG TIẾN ĐỘ</t>
        </is>
      </c>
      <c r="K36" s="65" t="n"/>
    </row>
    <row r="38" ht="28" customHeight="1">
      <c r="A38" s="66" t="inlineStr">
        <is>
          <t>V. BẢNG TỔNG KẾT THỜI GIAN HOÀN THIỆN THEO TỪNG TASK NHỎ &amp; GIAI ĐOẠN (SUBTASK BREAKDOWN)</t>
        </is>
      </c>
    </row>
    <row r="39" ht="26" customHeight="1">
      <c r="A39" s="56" t="inlineStr">
        <is>
          <t>STT</t>
        </is>
      </c>
      <c r="B39" s="56" t="inlineStr">
        <is>
          <t>Mã Task</t>
        </is>
      </c>
      <c r="C39" s="56" t="inlineStr">
        <is>
          <t>Giai Đoạn / Nhóm</t>
        </is>
      </c>
      <c r="D39" s="57" t="inlineStr">
        <is>
          <t>Tên Task Nhỏ / Khối Giao Diện Cụ Thể</t>
        </is>
      </c>
      <c r="E39" s="56" t="inlineStr">
        <is>
          <t>Công Cụ / File Xử Lý</t>
        </is>
      </c>
      <c r="F39" s="56" t="inlineStr">
        <is>
          <t>Bắt Đầu</t>
        </is>
      </c>
      <c r="G39" s="56" t="inlineStr">
        <is>
          <t>Kết Thúc</t>
        </is>
      </c>
      <c r="H39" s="56" t="inlineStr">
        <is>
          <t>Tổng Giờ (h)</t>
        </is>
      </c>
      <c r="I39" s="56" t="inlineStr">
        <is>
          <t>Thời Lượng (Phút)</t>
        </is>
      </c>
      <c r="J39" s="56" t="inlineStr">
        <is>
          <t>Trạng Thái</t>
        </is>
      </c>
      <c r="K39" s="57" t="inlineStr">
        <is>
          <t>Kết Quả / Giá Trị Đạt Được</t>
        </is>
      </c>
    </row>
    <row r="40" ht="28" customHeight="1">
      <c r="A40" s="58" t="n">
        <v>1</v>
      </c>
      <c r="B40" s="67" t="inlineStr">
        <is>
          <t>Task 1</t>
        </is>
      </c>
      <c r="C40" s="58" t="inlineStr">
        <is>
          <t>I. Nền Tảng</t>
        </is>
      </c>
      <c r="D40" s="59" t="inlineStr">
        <is>
          <t>Khởi tạo Taxonomy danh mục xe &amp; Thuộc tính (Pin, Động cơ, Quãng đường, Tốc độ)</t>
        </is>
      </c>
      <c r="E40" s="58" t="inlineStr">
        <is>
          <t>WP Admin &amp; Woo</t>
        </is>
      </c>
      <c r="F40" s="58" t="inlineStr">
        <is>
          <t>08:00</t>
        </is>
      </c>
      <c r="G40" s="58" t="inlineStr">
        <is>
          <t>09:00</t>
        </is>
      </c>
      <c r="H40" s="67" t="n">
        <v>1</v>
      </c>
      <c r="I40" s="58" t="inlineStr">
        <is>
          <t>60 phút</t>
        </is>
      </c>
      <c r="J40" s="60" t="inlineStr">
        <is>
          <t>Hoàn thành</t>
        </is>
      </c>
      <c r="K40" s="59" t="inlineStr">
        <is>
          <t>Cơ sở dữ liệu danh mục xe và bộ 4 thuộc tính kỹ thuật hoàn chỉnh</t>
        </is>
      </c>
    </row>
    <row r="41" ht="28" customHeight="1">
      <c r="A41" s="58" t="n">
        <v>2</v>
      </c>
      <c r="B41" s="67" t="inlineStr">
        <is>
          <t>Task 2</t>
        </is>
      </c>
      <c r="C41" s="58" t="inlineStr">
        <is>
          <t>II. Trang Chủ</t>
        </is>
      </c>
      <c r="D41" s="59" t="inlineStr">
        <is>
          <t>Header đa tầng: Topbar đỏ cam kết + Main Header đen + Live Search + Cụm Icons</t>
        </is>
      </c>
      <c r="E41" s="58" t="inlineStr">
        <is>
          <t>Header Builder</t>
        </is>
      </c>
      <c r="F41" s="58" t="inlineStr">
        <is>
          <t>09:00</t>
        </is>
      </c>
      <c r="G41" s="58" t="inlineStr">
        <is>
          <t>10:30</t>
        </is>
      </c>
      <c r="H41" s="67" t="n">
        <v>1.5</v>
      </c>
      <c r="I41" s="58" t="inlineStr">
        <is>
          <t>90 phút</t>
        </is>
      </c>
      <c r="J41" s="60" t="inlineStr">
        <is>
          <t>Hoàn thành</t>
        </is>
      </c>
      <c r="K41" s="59" t="inlineStr">
        <is>
          <t>Header 2 tầng chuẩn nhận diện thương hiệu, AJAX live search sản phẩm</t>
        </is>
      </c>
    </row>
    <row r="42" ht="28" customHeight="1">
      <c r="A42" s="58" t="n">
        <v>3</v>
      </c>
      <c r="B42" s="67" t="inlineStr">
        <is>
          <t>Task 3</t>
        </is>
      </c>
      <c r="C42" s="58" t="inlineStr">
        <is>
          <t>II. Trang Chủ</t>
        </is>
      </c>
      <c r="D42" s="59" t="inlineStr">
        <is>
          <t>Navigation Menu đỏ chính (#d0021b) + Tích hợp Mega Menu danh mục xe</t>
        </is>
      </c>
      <c r="E42" s="58" t="inlineStr">
        <is>
          <t>WP Menu + CSS</t>
        </is>
      </c>
      <c r="F42" s="58" t="inlineStr">
        <is>
          <t>10:30</t>
        </is>
      </c>
      <c r="G42" s="58" t="inlineStr">
        <is>
          <t>11:30</t>
        </is>
      </c>
      <c r="H42" s="67" t="n">
        <v>1</v>
      </c>
      <c r="I42" s="58" t="inlineStr">
        <is>
          <t>60 phút</t>
        </is>
      </c>
      <c r="J42" s="60" t="inlineStr">
        <is>
          <t>Hoàn thành</t>
        </is>
      </c>
      <c r="K42" s="59" t="inlineStr">
        <is>
          <t>Thanh menu đỏ nổi bật, bo góc viền dưới, dropdown menu mượt mà</t>
        </is>
      </c>
    </row>
    <row r="43" ht="28" customHeight="1">
      <c r="A43" s="58" t="n">
        <v>4</v>
      </c>
      <c r="B43" s="67" t="inlineStr">
        <is>
          <t>Task 4</t>
        </is>
      </c>
      <c r="C43" s="58" t="inlineStr">
        <is>
          <t>II. Trang Chủ</t>
        </is>
      </c>
      <c r="D43" s="59" t="inlineStr">
        <is>
          <t>Hero Section: Slider banner chính + Tin tức nổi bật + Banner giao hỏa tốc 1H</t>
        </is>
      </c>
      <c r="E43" s="58" t="inlineStr">
        <is>
          <t>UX Builder</t>
        </is>
      </c>
      <c r="F43" s="58" t="inlineStr">
        <is>
          <t>11:30</t>
        </is>
      </c>
      <c r="G43" s="58" t="inlineStr">
        <is>
          <t>12:30</t>
        </is>
      </c>
      <c r="H43" s="67" t="n">
        <v>1</v>
      </c>
      <c r="I43" s="58" t="inlineStr">
        <is>
          <t>60 phút</t>
        </is>
      </c>
      <c r="J43" s="60" t="inlineStr">
        <is>
          <t>Hoàn thành</t>
        </is>
      </c>
      <c r="K43" s="59" t="inlineStr">
        <is>
          <t>Bố cục 2/3 slider tự động chạy + 1/3 widget bài viết và banner cam</t>
        </is>
      </c>
    </row>
    <row r="44" ht="28" customHeight="1">
      <c r="A44" s="58" t="n">
        <v>5</v>
      </c>
      <c r="B44" s="67" t="inlineStr">
        <is>
          <t>Task 5</t>
        </is>
      </c>
      <c r="C44" s="58" t="inlineStr">
        <is>
          <t>II. Trang Chủ</t>
        </is>
      </c>
      <c r="D44" s="59" t="inlineStr">
        <is>
          <t>Section Giờ Vàng - Giá Cực Sốc (Tabs 17h, 19h, 20h, 21h + Lưới 5 sản phẩm sale)</t>
        </is>
      </c>
      <c r="E44" s="58" t="inlineStr">
        <is>
          <t>UX + Shortcode</t>
        </is>
      </c>
      <c r="F44" s="58" t="inlineStr">
        <is>
          <t>13:30</t>
        </is>
      </c>
      <c r="G44" s="58" t="inlineStr">
        <is>
          <t>15:30</t>
        </is>
      </c>
      <c r="H44" s="67" t="n">
        <v>2</v>
      </c>
      <c r="I44" s="58" t="inlineStr">
        <is>
          <t>120 phút</t>
        </is>
      </c>
      <c r="J44" s="60" t="inlineStr">
        <is>
          <t>Hoàn thành</t>
        </is>
      </c>
      <c r="K44" s="59" t="inlineStr">
        <is>
          <t>Tabs mốc thời gian chuyển đổi nhanh, thanh tiến độ bán hàng trực quan</t>
        </is>
      </c>
    </row>
    <row r="45" ht="28" customHeight="1">
      <c r="A45" s="58" t="n">
        <v>6</v>
      </c>
      <c r="B45" s="67" t="inlineStr">
        <is>
          <t>Task 6</t>
        </is>
      </c>
      <c r="C45" s="58" t="inlineStr">
        <is>
          <t>II. Trang Chủ</t>
        </is>
      </c>
      <c r="D45" s="59" t="inlineStr">
        <is>
          <t>4 Khối danh mục xe đạp (Shortcode [gobike_category_block] lưới 5 cột: 1 Big + 8 Small)</t>
        </is>
      </c>
      <c r="E45" s="58" t="inlineStr">
        <is>
          <t>functions.php &amp; CSS</t>
        </is>
      </c>
      <c r="F45" s="58" t="inlineStr">
        <is>
          <t>15:30</t>
        </is>
      </c>
      <c r="G45" s="58" t="inlineStr">
        <is>
          <t>17:00</t>
        </is>
      </c>
      <c r="H45" s="67" t="n">
        <v>1.5</v>
      </c>
      <c r="I45" s="58" t="inlineStr">
        <is>
          <t>90 phút</t>
        </is>
      </c>
      <c r="J45" s="60" t="inlineStr">
        <is>
          <t>Hoàn thành</t>
        </is>
      </c>
      <c r="K45" s="59" t="inlineStr">
        <is>
          <t>Lưới 5 cột tự co giãn, tự tính nhãn ⚡ Giảm X%, in thông số pin/quãng đường</t>
        </is>
      </c>
    </row>
    <row r="46" ht="28" customHeight="1">
      <c r="A46" s="58" t="n">
        <v>7</v>
      </c>
      <c r="B46" s="67" t="inlineStr">
        <is>
          <t>Task 7</t>
        </is>
      </c>
      <c r="C46" s="58" t="inlineStr">
        <is>
          <t>II. Trang Chủ</t>
        </is>
      </c>
      <c r="D46" s="59" t="inlineStr">
        <is>
          <t>Section Tin tức - Bài viết Blog (Lưới 4 cột thumbnail, ngày đăng, tóm tắt)</t>
        </is>
      </c>
      <c r="E46" s="58" t="inlineStr">
        <is>
          <t>UX Blog Posts</t>
        </is>
      </c>
      <c r="F46" s="58" t="inlineStr">
        <is>
          <t>17:00</t>
        </is>
      </c>
      <c r="G46" s="58" t="inlineStr">
        <is>
          <t>18:00</t>
        </is>
      </c>
      <c r="H46" s="67" t="n">
        <v>1</v>
      </c>
      <c r="I46" s="58" t="inlineStr">
        <is>
          <t>60 phút</t>
        </is>
      </c>
      <c r="J46" s="60" t="inlineStr">
        <is>
          <t>Hoàn thành</t>
        </is>
      </c>
      <c r="K46" s="59" t="inlineStr">
        <is>
          <t>Hiển thị 4 bài blog mới nhất, nút Xem tất cả liên kết trang tin</t>
        </is>
      </c>
    </row>
    <row r="47" ht="28" customHeight="1">
      <c r="A47" s="58" t="n">
        <v>8</v>
      </c>
      <c r="B47" s="67" t="inlineStr">
        <is>
          <t>Task 8</t>
        </is>
      </c>
      <c r="C47" s="58" t="inlineStr">
        <is>
          <t>II. Trang Chủ</t>
        </is>
      </c>
      <c r="D47" s="59" t="inlineStr">
        <is>
          <t>Khối 4 Cam kết dịch vụ Trust Badges (17 Năm, 18T BH, Trọn đời, 12h Giao)</t>
        </is>
      </c>
      <c r="E47" s="58" t="inlineStr">
        <is>
          <t>UX Icon Box Row</t>
        </is>
      </c>
      <c r="F47" s="58" t="inlineStr">
        <is>
          <t>18:00</t>
        </is>
      </c>
      <c r="G47" s="58" t="inlineStr">
        <is>
          <t>18:30</t>
        </is>
      </c>
      <c r="H47" s="67" t="n">
        <v>0.5</v>
      </c>
      <c r="I47" s="58" t="inlineStr">
        <is>
          <t>30 phút</t>
        </is>
      </c>
      <c r="J47" s="60" t="inlineStr">
        <is>
          <t>Hoàn thành</t>
        </is>
      </c>
      <c r="K47" s="59" t="inlineStr">
        <is>
          <t>4 cam kết vàng bảo chứng thương hiệu, icon sắc nét chuẩn mockup</t>
        </is>
      </c>
    </row>
    <row r="48" ht="28" customHeight="1">
      <c r="A48" s="58" t="n">
        <v>9</v>
      </c>
      <c r="B48" s="67" t="inlineStr">
        <is>
          <t>Task 9</t>
        </is>
      </c>
      <c r="C48" s="58" t="inlineStr">
        <is>
          <t>II. Trang Chủ</t>
        </is>
      </c>
      <c r="D48" s="59" t="inlineStr">
        <is>
          <t>Footer 4 Cột hoàn chỉnh (Showroom, Chính sách, Bộ Công Thương, Thanh toán)</t>
        </is>
      </c>
      <c r="E48" s="58" t="inlineStr">
        <is>
          <t>Flatsome Footer</t>
        </is>
      </c>
      <c r="F48" s="58" t="inlineStr">
        <is>
          <t>19:30</t>
        </is>
      </c>
      <c r="G48" s="58" t="inlineStr">
        <is>
          <t>20:45</t>
        </is>
      </c>
      <c r="H48" s="67" t="n">
        <v>1.25</v>
      </c>
      <c r="I48" s="58" t="inlineStr">
        <is>
          <t>75 phút</t>
        </is>
      </c>
      <c r="J48" s="60" t="inlineStr">
        <is>
          <t>Hoàn thành</t>
        </is>
      </c>
      <c r="K48" s="59" t="inlineStr">
        <is>
          <t>Chân trang đầy đủ thông tin pháp lý, bản quyền, địa chỉ showroom 3 miền</t>
        </is>
      </c>
    </row>
    <row r="49" ht="28" customHeight="1">
      <c r="A49" s="58" t="n">
        <v>10</v>
      </c>
      <c r="B49" s="67" t="inlineStr">
        <is>
          <t>Task 10</t>
        </is>
      </c>
      <c r="C49" s="58" t="inlineStr">
        <is>
          <t>II. Trang Chủ</t>
        </is>
      </c>
      <c r="D49" s="59" t="inlineStr">
        <is>
          <t>Kiểm thử Responsive Mobile/Tablet &amp; Tinh chỉnh hiển thị toàn bộ Trang Chủ</t>
        </is>
      </c>
      <c r="E49" s="58" t="inlineStr">
        <is>
          <t>style.css &amp; QA</t>
        </is>
      </c>
      <c r="F49" s="58" t="inlineStr">
        <is>
          <t>20:45</t>
        </is>
      </c>
      <c r="G49" s="58" t="inlineStr">
        <is>
          <t>21:45</t>
        </is>
      </c>
      <c r="H49" s="67" t="n">
        <v>1</v>
      </c>
      <c r="I49" s="58" t="inlineStr">
        <is>
          <t>60 phút</t>
        </is>
      </c>
      <c r="J49" s="60" t="inlineStr">
        <is>
          <t>Hoàn thành</t>
        </is>
      </c>
      <c r="K49" s="59" t="inlineStr">
        <is>
          <t>Chuyển lưới 5 cột sang 2 cột trên điện thoại, menu mobile mượt mà</t>
        </is>
      </c>
    </row>
    <row r="50" ht="28" customHeight="1">
      <c r="A50" s="58" t="n">
        <v>11</v>
      </c>
      <c r="B50" s="67" t="inlineStr">
        <is>
          <t>Task 11</t>
        </is>
      </c>
      <c r="C50" s="58" t="inlineStr">
        <is>
          <t>III. Trang SP</t>
        </is>
      </c>
      <c r="D50" s="59" t="inlineStr">
        <is>
          <t>Breadcrumb điều hướng phân cấp (Trang chủ &gt; SẢN PHẨM / Tên danh mục xe)</t>
        </is>
      </c>
      <c r="E50" s="58" t="inlineStr">
        <is>
          <t>category-none.php</t>
        </is>
      </c>
      <c r="F50" s="58" t="inlineStr">
        <is>
          <t>16:00</t>
        </is>
      </c>
      <c r="G50" s="58" t="inlineStr">
        <is>
          <t>16:25</t>
        </is>
      </c>
      <c r="H50" s="67" t="n">
        <v>0.42</v>
      </c>
      <c r="I50" s="58" t="inlineStr">
        <is>
          <t>25 phút</t>
        </is>
      </c>
      <c r="J50" s="60" t="inlineStr">
        <is>
          <t>Hoàn thành</t>
        </is>
      </c>
      <c r="K50" s="59" t="inlineStr">
        <is>
          <t>Thanh điều hướng phân cấp chuẩn SEO, font 13px xám nhạt tại đỉnh trang</t>
        </is>
      </c>
    </row>
    <row r="51" ht="28" customHeight="1">
      <c r="A51" s="58" t="n">
        <v>12</v>
      </c>
      <c r="B51" s="67" t="inlineStr">
        <is>
          <t>Task 13+14+SP1</t>
        </is>
      </c>
      <c r="C51" s="58" t="inlineStr">
        <is>
          <t>III. Trang SP</t>
        </is>
      </c>
      <c r="D51" s="59" t="inlineStr">
        <is>
          <t>Module Bộ Lọc Ngang độc lập (gobike-product-filter.php), 5 Khoảng Giá, Sắp xếp radio</t>
        </is>
      </c>
      <c r="E51" s="58" t="inlineStr">
        <is>
          <t>gobike-product-filter.php</t>
        </is>
      </c>
      <c r="F51" s="58" t="inlineStr">
        <is>
          <t>08:00</t>
        </is>
      </c>
      <c r="G51" s="58" t="inlineStr">
        <is>
          <t>09:30</t>
        </is>
      </c>
      <c r="H51" s="67" t="n">
        <v>2.33</v>
      </c>
      <c r="I51" s="58" t="inlineStr">
        <is>
          <t>140 phút</t>
        </is>
      </c>
      <c r="J51" s="60" t="inlineStr">
        <is>
          <t>Hoàn thành</t>
        </is>
      </c>
      <c r="K51" s="59" t="inlineStr">
        <is>
          <t>Gói gọn 100% PHP/CSS/JS 1 file; 5 nấc giá VNĐ; nút Bỏ bộ lọc; no-products chuẩn</t>
        </is>
      </c>
    </row>
    <row r="52" ht="28" customHeight="1">
      <c r="A52" s="58" t="n">
        <v>13</v>
      </c>
      <c r="B52" s="67" t="inlineStr">
        <is>
          <t>Task 12+17+SP2</t>
        </is>
      </c>
      <c r="C52" s="58" t="inlineStr">
        <is>
          <t>III. Trang SP</t>
        </is>
      </c>
      <c r="D52" s="59" t="inlineStr">
        <is>
          <t>Cặp Banner zoom từ tâm (0-&gt;1) + Khối SEO chân trang nét đứt + Tích hợp SCF Theme Settings</t>
        </is>
      </c>
      <c r="E52" s="58" t="inlineStr">
        <is>
          <t>functions.php &amp; CSS</t>
        </is>
      </c>
      <c r="F52" s="58" t="inlineStr">
        <is>
          <t>09:30</t>
        </is>
      </c>
      <c r="G52" s="58" t="inlineStr">
        <is>
          <t>11:15</t>
        </is>
      </c>
      <c r="H52" s="67" t="n">
        <v>1.75</v>
      </c>
      <c r="I52" s="58" t="inlineStr">
        <is>
          <t>105 phút</t>
        </is>
      </c>
      <c r="J52" s="60" t="inlineStr">
        <is>
          <t>Hoàn thành</t>
        </is>
      </c>
      <c r="K52" s="59" t="inlineStr">
        <is>
          <t>2 Banner zoom animation trung tâm; tiêu đề SEO gạch nét đứt #ccc; fix bug functions.php</t>
        </is>
      </c>
    </row>
    <row r="53" ht="28" customHeight="1">
      <c r="A53" s="58" t="n">
        <v>14</v>
      </c>
      <c r="B53" s="67" t="inlineStr">
        <is>
          <t>Task 15-19</t>
        </is>
      </c>
      <c r="C53" s="58" t="inlineStr">
        <is>
          <t>III. Trang SP</t>
        </is>
      </c>
      <c r="D53" s="59" t="inlineStr">
        <is>
          <t>Đồng bộ Card sản phẩm xe đạp, Phân trang đỏ bo góc, 4 Badges &amp; Responsive Trang SP</t>
        </is>
      </c>
      <c r="E53" s="58" t="inlineStr">
        <is>
          <t>category-none.php &amp; CSS</t>
        </is>
      </c>
      <c r="F53" s="58" t="inlineStr">
        <is>
          <t>Tích hợp</t>
        </is>
      </c>
      <c r="G53" s="58" t="inlineStr">
        <is>
          <t>Đồng bộ</t>
        </is>
      </c>
      <c r="H53" s="67" t="n">
        <v>0</v>
      </c>
      <c r="I53" s="58" t="inlineStr">
        <is>
          <t>Đã tích hợp</t>
        </is>
      </c>
      <c r="J53" s="60" t="inlineStr">
        <is>
          <t>Hoàn thành</t>
        </is>
      </c>
      <c r="K53" s="59" t="inlineStr">
        <is>
          <t>Hoàn thành 100% giao diện Catalog Archive chuẩn mockup, pixel-perfect</t>
        </is>
      </c>
    </row>
    <row r="54" ht="28" customHeight="1">
      <c r="A54" s="61" t="inlineStr">
        <is>
          <t>TỔNG THỜI GIAN HOÀN THIỆN TẤT CẢ CÁC TASK NHỎ (GIỜ):</t>
        </is>
      </c>
      <c r="B54" s="75" t="n"/>
      <c r="C54" s="75" t="n"/>
      <c r="D54" s="75" t="n"/>
      <c r="E54" s="75" t="n"/>
      <c r="F54" s="75" t="n"/>
      <c r="G54" s="76" t="n"/>
      <c r="H54" s="63">
        <f>SUM(H40:H53)</f>
        <v/>
      </c>
      <c r="I54" s="63" t="inlineStr">
        <is>
          <t>975 Phút (~16.25h)</t>
        </is>
      </c>
      <c r="J54" s="64" t="inlineStr">
        <is>
          <t>100% HOÀN THÀNH</t>
        </is>
      </c>
      <c r="K54" s="68" t="inlineStr">
        <is>
          <t>Đã nghiệm thu toàn diện Trang Chủ &amp; Trang Sản Phẩm</t>
        </is>
      </c>
    </row>
  </sheetData>
  <mergeCells count="7">
    <mergeCell ref="A36:G36"/>
    <mergeCell ref="A38:K38"/>
    <mergeCell ref="A2:K2"/>
    <mergeCell ref="A30:G30"/>
    <mergeCell ref="A54:G54"/>
    <mergeCell ref="A32:K32"/>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2"/>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 width="18" customWidth="1" min="7" max="7"/>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c r="G14" s="53" t="inlineStr">
        <is>
          <t>Trạng Thái</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c r="G15" s="54" t="inlineStr">
        <is>
          <t>100% Hoàn thành</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c r="G16" s="54" t="inlineStr">
        <is>
          <t>100% Hoàn thành</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c r="G17" s="54" t="inlineStr">
        <is>
          <t>100% Hoàn thành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c r="G18" s="54" t="inlineStr">
        <is>
          <t>100% Hoàn thành</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c r="G19" s="54" t="inlineStr">
        <is>
          <t>100% Hoàn thành</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c r="G20" s="54" t="inlineStr">
        <is>
          <t>100% Hoàn thành</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c r="G21" s="54" t="inlineStr">
        <is>
          <t>100% Hoàn thành</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c r="G22" s="54" t="inlineStr">
        <is>
          <t>100% Hoàn thành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c r="G23" s="54" t="inlineStr">
        <is>
          <t>100% Hoàn thành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c r="G24" s="54" t="inlineStr">
        <is>
          <t>100% Hoàn thành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c r="G27" s="53" t="inlineStr">
        <is>
          <t>Trạng Thái</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c r="G28" s="54" t="inlineStr">
        <is>
          <t>100% Hoàn thành</t>
        </is>
      </c>
    </row>
    <row r="29" ht="26" customHeight="1">
      <c r="A29" s="41" t="n">
        <v>2</v>
      </c>
      <c r="B29" s="40" t="inlineStr">
        <is>
          <t>Cặp Banner Tiện Ích (Dual 50-50)</t>
        </is>
      </c>
      <c r="C29" s="40" t="inlineStr">
        <is>
          <t>Template PHP / UX Block</t>
        </is>
      </c>
      <c r="D29" s="40" t="inlineStr">
        <is>
          <t>functions.php &amp; category-none.php &amp; style.css</t>
        </is>
      </c>
      <c r="E29" s="40" t="inlineStr">
        <is>
          <t>2 Banner tiện ích SCF Theme Settings, render HTML Flatsome native (row, col medium-6), hiệu ứng CSS Animation zoom từ tâm 0 -&gt; 1 mượt mà</t>
        </is>
      </c>
      <c r="F29" s="45" t="inlineStr">
        <is>
          <t>Trung bình</t>
        </is>
      </c>
      <c r="G29" s="54" t="inlineStr">
        <is>
          <t>100% Hoàn thành</t>
        </is>
      </c>
    </row>
    <row r="30" ht="26" customHeight="1">
      <c r="A30" s="43" t="n">
        <v>3</v>
      </c>
      <c r="B30" s="37" t="inlineStr">
        <is>
          <t>Tiêu Đề H1 &amp; Bộ Lọc Ngang Dropdowns</t>
        </is>
      </c>
      <c r="C30" s="37" t="inlineStr">
        <is>
          <t>Widget Sidebar + Flexbox</t>
        </is>
      </c>
      <c r="D30" s="37" t="inlineStr">
        <is>
          <t>gobike-product-filter.php &amp; functions.php</t>
        </is>
      </c>
      <c r="E30" s="37" t="inlineStr">
        <is>
          <t>Đóng gói module độc lập 1 file gom toàn bộ PHP + CSS + JS, lọc 5 khoảng giá VNĐ, nút Bỏ hết bộ lọc, xử lý trạng thái không có sản phẩm</t>
        </is>
      </c>
      <c r="F30" s="46" t="inlineStr">
        <is>
          <t>Khó</t>
        </is>
      </c>
      <c r="G30" s="54" t="inlineStr">
        <is>
          <t>100% Hoàn thành</t>
        </is>
      </c>
    </row>
    <row r="31" ht="26" customHeight="1">
      <c r="A31" s="41" t="n">
        <v>4</v>
      </c>
      <c r="B31" s="40" t="inlineStr">
        <is>
          <t>Thanh Sắp Xếp Radio Buttons</t>
        </is>
      </c>
      <c r="C31" s="40" t="inlineStr">
        <is>
          <t>Custom Ordering Form</t>
        </is>
      </c>
      <c r="D31" s="40" t="inlineStr">
        <is>
          <t>gobike-product-filter.php</t>
        </is>
      </c>
      <c r="E31" s="40" t="inlineStr">
        <is>
          <t>Đồng bộ thanh sắp xếp radio buttons (Mặc định, Giá tăng/giảm, Mới nhất, Bán chạy, Tên A-Z) tích hợp chung trong module gobike-product-filter.php</t>
        </is>
      </c>
      <c r="F31" s="47" t="inlineStr">
        <is>
          <t>Khó</t>
        </is>
      </c>
      <c r="G31" s="54" t="inlineStr">
        <is>
          <t>100% Hoàn thành</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c r="G32" s="54" t="inlineStr">
        <is>
          <t>100% Hoàn thành</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c r="G33" s="54" t="inlineStr">
        <is>
          <t>100% Hoàn thành</t>
        </is>
      </c>
    </row>
    <row r="34" ht="26" customHeight="1">
      <c r="A34" s="43" t="n">
        <v>7</v>
      </c>
      <c r="B34" s="37" t="inlineStr">
        <is>
          <t>Khối Mô Tả SEO Chân Trang</t>
        </is>
      </c>
      <c r="C34" s="37" t="inlineStr">
        <is>
          <t>Term Description / Hook</t>
        </is>
      </c>
      <c r="D34" s="37" t="inlineStr">
        <is>
          <t>functions.php &amp; category-none.php &amp; style.css</t>
        </is>
      </c>
      <c r="E34" s="37" t="inlineStr">
        <is>
          <t>Khối mô tả hệ thống Aimos/Gobike cấu hình SCF Theme Settings, tiêu đề gạch viền nét đứt (border-bottom: 1px dashed #ccc), responsive chuẩn ảnh mẫu</t>
        </is>
      </c>
      <c r="F34" s="44" t="inlineStr">
        <is>
          <t>Dễ</t>
        </is>
      </c>
      <c r="G34" s="54" t="inlineStr">
        <is>
          <t>100% Hoàn thành</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c r="G35" s="54" t="inlineStr">
        <is>
          <t>100% Hoàn thành</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c r="G36" s="54" t="inlineStr">
        <is>
          <t>100% Hoàn thành</t>
        </is>
      </c>
    </row>
    <row r="38" ht="26" customHeight="1">
      <c r="A38" s="77" t="inlineStr">
        <is>
          <t>IV. MA TRẬN BẺ KHỐI &amp; KỸ THUẬT FOOTER CHUẨN MOCKUP (CHÂN TRANG TOÀN WEBSITE)</t>
        </is>
      </c>
    </row>
    <row r="39" ht="24" customHeight="1">
      <c r="A39" s="78" t="inlineStr">
        <is>
          <t>STT</t>
        </is>
      </c>
      <c r="B39" s="78" t="inlineStr">
        <is>
          <t>Tên Khối Giao Diện</t>
        </is>
      </c>
      <c r="C39" s="78" t="inlineStr">
        <is>
          <t>Phân Loại Thành Phần</t>
        </is>
      </c>
      <c r="D39" s="78" t="inlineStr">
        <is>
          <t>File / Template Can Thiệp</t>
        </is>
      </c>
      <c r="E39" s="78" t="inlineStr">
        <is>
          <t>Phương Thức Triển Khai Kỹ Thuật</t>
        </is>
      </c>
      <c r="F39" s="78" t="inlineStr">
        <is>
          <t>Độ Phức Tạp</t>
        </is>
      </c>
      <c r="G39" s="78" t="inlineStr">
        <is>
          <t>Trạng Thái</t>
        </is>
      </c>
    </row>
    <row r="40" ht="28" customHeight="1">
      <c r="A40" s="79" t="n">
        <v>1</v>
      </c>
      <c r="B40" s="80" t="inlineStr">
        <is>
          <t>Dải Cam Kết Dịch Vụ (Trust Badges Row)</t>
        </is>
      </c>
      <c r="C40" s="79" t="inlineStr">
        <is>
          <t>UX Block / Custom HTML</t>
        </is>
      </c>
      <c r="D40" s="80" t="inlineStr">
        <is>
          <t>Flatsome UX Block &amp; style.css</t>
        </is>
      </c>
      <c r="E40" s="80" t="inlineStr">
        <is>
          <t>Đổi màu 4 icon và text nổi bật sang đỏ #d0021b; loại bỏ đường viền xanh ngăn cách, căn chỉnh padding cân đối</t>
        </is>
      </c>
      <c r="F40" s="79" t="inlineStr">
        <is>
          <t>Trung bình</t>
        </is>
      </c>
      <c r="G40" s="73" t="inlineStr">
        <is>
          <t>Đang thực hiện</t>
        </is>
      </c>
    </row>
    <row r="41" ht="28" customHeight="1">
      <c r="A41" s="79" t="n">
        <v>2</v>
      </c>
      <c r="B41" s="80" t="inlineStr">
        <is>
          <t>Cột 1: Box 4 Showroom &amp; Phương Thức Thanh Toán</t>
        </is>
      </c>
      <c r="C41" s="79" t="inlineStr">
        <is>
          <t>Custom HTML &amp; CSS</t>
        </is>
      </c>
      <c r="D41" s="80" t="inlineStr">
        <is>
          <t>Flatsome UX Block &amp; style.css</t>
        </is>
      </c>
      <c r="E41" s="80" t="inlineStr">
        <is>
          <t>Dựng box 4 showroom có badge đỏ [CS1]-[CS4], thanh tiêu đề xanh đen, hotline &amp; link Google Maps; chèn 4 badge thanh toán ATM, COD, Visa, Trả góp</t>
        </is>
      </c>
      <c r="F41" s="79" t="inlineStr">
        <is>
          <t>Khó</t>
        </is>
      </c>
      <c r="G41" s="73" t="inlineStr">
        <is>
          <t>Đang thực hiện</t>
        </is>
      </c>
    </row>
    <row r="42" ht="28" customHeight="1">
      <c r="A42" s="79" t="n">
        <v>3</v>
      </c>
      <c r="B42" s="80" t="inlineStr">
        <is>
          <t>Cột 2: Tiện Ích, Pháp Lý, Hotline &amp; Mạng Xã Hội</t>
        </is>
      </c>
      <c r="C42" s="79" t="inlineStr">
        <is>
          <t>Custom HTML &amp; Icons</t>
        </is>
      </c>
      <c r="D42" s="80" t="inlineStr">
        <is>
          <t>Flatsome UX Block &amp; style.css</t>
        </is>
      </c>
      <c r="E42" s="80" t="inlineStr">
        <is>
          <t>Chèn cụm 4 icon tiện ích tròn; thêm dòng ĐKKD; cấu hình 5 đường hotline chuẩn màu (xanh/đỏ) + khung giờ; chèn 5 icon MXH có hover</t>
        </is>
      </c>
      <c r="F42" s="79" t="inlineStr">
        <is>
          <t>Trung bình</t>
        </is>
      </c>
      <c r="G42" s="73" t="inlineStr">
        <is>
          <t>Đang thực hiện</t>
        </is>
      </c>
    </row>
    <row r="43" ht="28" customHeight="1">
      <c r="A43" s="79" t="n">
        <v>4</v>
      </c>
      <c r="B43" s="80" t="inlineStr">
        <is>
          <t>Cột 3 &amp; 4: Menu Hỗ Trợ, Logo BCT &amp; Form Nhận Tin</t>
        </is>
      </c>
      <c r="C43" s="79" t="inlineStr">
        <is>
          <t>Widgets &amp; Form HTML</t>
        </is>
      </c>
      <c r="D43" s="80" t="inlineStr">
        <is>
          <t>Flatsome Footer / UX Block</t>
        </is>
      </c>
      <c r="E43" s="80" t="inlineStr">
        <is>
          <t>Bổ sung menu Tìm kiếm, Đăng nhập, Giỏ hàng; chèn Logo dấu tích xanh Bộ Công Thương; dựng form email có nút Đăng ký đỏ #d0021b bo góc</t>
        </is>
      </c>
      <c r="F43" s="79" t="inlineStr">
        <is>
          <t>Trung bình</t>
        </is>
      </c>
      <c r="G43" s="73" t="inlineStr">
        <is>
          <t>Đang thực hiện</t>
        </is>
      </c>
    </row>
    <row r="44" ht="28" customHeight="1">
      <c r="A44" s="79" t="n">
        <v>5</v>
      </c>
      <c r="B44" s="80" t="inlineStr">
        <is>
          <t>Kiểm Thử Responsive Mobile/Tablet &amp; Copyright</t>
        </is>
      </c>
      <c r="C44" s="79" t="inlineStr">
        <is>
          <t>CSS Media Queries &amp; Polish</t>
        </is>
      </c>
      <c r="D44" s="80" t="inlineStr">
        <is>
          <t>flatsome-child/style.css</t>
        </is>
      </c>
      <c r="E44" s="80" t="inlineStr">
        <is>
          <t>Tối ưu hiển thị footer dạng accordion/stack cột trên smartphone; căn chỉnh thanh bản quyền chân trang xám nhạt tinh tế</t>
        </is>
      </c>
      <c r="F44" s="79" t="inlineStr">
        <is>
          <t>Dễ</t>
        </is>
      </c>
      <c r="G44" s="81" t="inlineStr">
        <is>
          <t>Chờ thực hiện</t>
        </is>
      </c>
    </row>
    <row r="46" ht="26" customHeight="1">
      <c r="A46" s="82" t="inlineStr">
        <is>
          <t>V. MA TRẬN BẺ KHỐI &amp; KỸ THUẬT HEADER ĐA TẦNG TỔNG HỢP (GHÉP ĐA NGUỒN)</t>
        </is>
      </c>
    </row>
    <row r="47" ht="24" customHeight="1">
      <c r="A47" s="78" t="inlineStr">
        <is>
          <t>STT</t>
        </is>
      </c>
      <c r="B47" s="78" t="inlineStr">
        <is>
          <t>Tên Khối Giao Diện</t>
        </is>
      </c>
      <c r="C47" s="78" t="inlineStr">
        <is>
          <t>Phân Loại Thành Phần</t>
        </is>
      </c>
      <c r="D47" s="78" t="inlineStr">
        <is>
          <t>File / Template Can Thiệp</t>
        </is>
      </c>
      <c r="E47" s="78" t="inlineStr">
        <is>
          <t>Phương Thức Triển Khai Kỹ Thuật</t>
        </is>
      </c>
      <c r="F47" s="78" t="inlineStr">
        <is>
          <t>Độ Phức Tạp</t>
        </is>
      </c>
      <c r="G47" s="78" t="inlineStr">
        <is>
          <t>Trạng Thái</t>
        </is>
      </c>
    </row>
    <row r="48" ht="28" customHeight="1">
      <c r="A48" s="79" t="n">
        <v>1</v>
      </c>
      <c r="B48" s="80" t="inlineStr">
        <is>
          <t>Top Bar Đỏ (Dải Thông Điệp &amp; Hotline)</t>
        </is>
      </c>
      <c r="C48" s="79" t="inlineStr">
        <is>
          <t>Header Builder</t>
        </is>
      </c>
      <c r="D48" s="80" t="inlineStr">
        <is>
          <t>Flatsome Header Top</t>
        </is>
      </c>
      <c r="E48" s="80" t="inlineStr">
        <is>
          <t>Dải thông điệp cam kết đỏ #d0021b, hotline đặt hàng và liên kết nhanh</t>
        </is>
      </c>
      <c r="F48" s="79" t="inlineStr">
        <is>
          <t>Dễ</t>
        </is>
      </c>
      <c r="G48" s="74" t="inlineStr">
        <is>
          <t>Chờ thực hiện</t>
        </is>
      </c>
    </row>
    <row r="49" ht="28" customHeight="1">
      <c r="A49" s="79" t="n">
        <v>2</v>
      </c>
      <c r="B49" s="80" t="inlineStr">
        <is>
          <t>Main Header Đen (Logo, Live Search, Cụm Tiện Ích)</t>
        </is>
      </c>
      <c r="C49" s="79" t="inlineStr">
        <is>
          <t>Header Builder &amp; AJAX</t>
        </is>
      </c>
      <c r="D49" s="80" t="inlineStr">
        <is>
          <t>Flatsome Header Main &amp; CSS</t>
        </is>
      </c>
      <c r="E49" s="80" t="inlineStr">
        <is>
          <t>Logo GOBIKE nhận diện chuẩn, thanh tìm kiếm thông minh AJAX live search, cụm icon Cửa hàng, Tư vấn, Giỏ hàng</t>
        </is>
      </c>
      <c r="F49" s="79" t="inlineStr">
        <is>
          <t>Khó</t>
        </is>
      </c>
      <c r="G49" s="74" t="inlineStr">
        <is>
          <t>Chờ thực hiện</t>
        </is>
      </c>
    </row>
    <row r="50" ht="28" customHeight="1">
      <c r="A50" s="79" t="n">
        <v>3</v>
      </c>
      <c r="B50" s="80" t="inlineStr">
        <is>
          <t>Main Navigation Bar (Thanh Menu Đỏ Đô &amp; Mega Menu)</t>
        </is>
      </c>
      <c r="C50" s="79" t="inlineStr">
        <is>
          <t>WP Menu &amp; Customizer</t>
        </is>
      </c>
      <c r="D50" s="80" t="inlineStr">
        <is>
          <t>Flatsome Header Bottom</t>
        </is>
      </c>
      <c r="E50" s="80" t="inlineStr">
        <is>
          <t>Menu danh mục sản phẩm xe đạp trợ lực, mega menu dạng tabs/lưới ảnh, các trang tin tức &amp; chính sách</t>
        </is>
      </c>
      <c r="F50" s="79" t="inlineStr">
        <is>
          <t>Trung bình</t>
        </is>
      </c>
      <c r="G50" s="74" t="inlineStr">
        <is>
          <t>Chờ thực hiện</t>
        </is>
      </c>
    </row>
    <row r="51" ht="28" customHeight="1">
      <c r="A51" s="79" t="n">
        <v>4</v>
      </c>
      <c r="B51" s="80" t="inlineStr">
        <is>
          <t>Tổng Hợp &amp; Ghép Nối Các Nguồn Giao Diện</t>
        </is>
      </c>
      <c r="C51" s="79" t="inlineStr">
        <is>
          <t>Custom Shortcode/CSS</t>
        </is>
      </c>
      <c r="D51" s="80" t="inlineStr">
        <is>
          <t>flatsome-child/functions.php</t>
        </is>
      </c>
      <c r="E51" s="80" t="inlineStr">
        <is>
          <t>Tiếp nhận tư liệu từ nhiều nguồn khác nhau của người dùng, chuẩn hóa màu sắc, font chữ và phong cách hiển thị đồng nhất</t>
        </is>
      </c>
      <c r="F51" s="79" t="inlineStr">
        <is>
          <t>Khó</t>
        </is>
      </c>
      <c r="G51" s="74" t="inlineStr">
        <is>
          <t>Chờ tư liệu</t>
        </is>
      </c>
    </row>
    <row r="52" ht="28" customHeight="1">
      <c r="A52" s="79" t="n">
        <v>5</v>
      </c>
      <c r="B52" s="80" t="inlineStr">
        <is>
          <t>Responsive Mobile Header (Menu Off-Canvas &amp; Sticky)</t>
        </is>
      </c>
      <c r="C52" s="79" t="inlineStr">
        <is>
          <t>Flatsome Mobile Header</t>
        </is>
      </c>
      <c r="D52" s="80" t="inlineStr">
        <is>
          <t>Header Builder &amp; CSS</t>
        </is>
      </c>
      <c r="E52" s="80" t="inlineStr">
        <is>
          <t>Tối ưu thanh header dính (sticky header), menu trượt off-canvas mượt mà trên điện thoại, thanh search mobile tiện lợi</t>
        </is>
      </c>
      <c r="F52" s="79" t="inlineStr">
        <is>
          <t>Trung bình</t>
        </is>
      </c>
      <c r="G52" s="74" t="inlineStr">
        <is>
          <t>Chờ thực hiện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2026-09-08T04:30:19Z</dcterms:modified>
</cp:coreProperties>
</file>