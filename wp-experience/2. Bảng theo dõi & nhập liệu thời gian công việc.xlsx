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ật Ký Thời Gian" sheetId="1" state="visible" r:id="rId1"/>
    <sheet xmlns:r="http://schemas.openxmlformats.org/officeDocument/2006/relationships" name="Quy Trình Xây Dựng Task" sheetId="2" state="visible" r:id="rId2"/>
  </sheets>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Segoe UI"/>
      <b val="1"/>
      <color rgb="001B5B65"/>
      <sz val="16"/>
    </font>
    <font>
      <name val="Segoe UI"/>
      <i val="1"/>
      <color rgb="00666666"/>
      <sz val="10"/>
    </font>
    <font>
      <name val="Segoe UI"/>
      <b val="1"/>
      <color rgb="00FFFFFF"/>
      <sz val="11"/>
    </font>
    <font>
      <name val="Segoe UI"/>
      <sz val="10"/>
    </font>
    <font>
      <name val="Segoe UI"/>
      <b val="1"/>
      <sz val="10"/>
    </font>
    <font>
      <name val="Segoe UI"/>
      <b val="1"/>
      <color rgb="001B5B65"/>
      <sz val="11"/>
    </font>
    <font>
      <name val="Segoe UI"/>
      <b val="1"/>
      <color rgb="00065F46"/>
      <sz val="10"/>
    </font>
    <font>
      <name val="Arial"/>
      <b val="1"/>
      <color rgb="00065F46"/>
      <sz val="10"/>
    </font>
    <font>
      <name val="Arial"/>
      <sz val="10"/>
    </font>
    <font>
      <name val="Arial"/>
      <b val="1"/>
      <color rgb="0092400E"/>
      <sz val="10"/>
    </font>
    <font>
      <name val="Segoe UI"/>
      <b val="1"/>
      <color rgb="001B5B65"/>
      <sz val="15"/>
    </font>
    <font>
      <name val="Segoe UI"/>
      <i val="1"/>
      <color rgb="00555555"/>
      <sz val="10"/>
    </font>
    <font>
      <name val="Segoe UI"/>
      <b val="1"/>
      <color rgb="001B5B65"/>
      <sz val="12"/>
    </font>
    <font>
      <name val="Segoe UI"/>
      <b val="1"/>
      <color rgb="00111111"/>
      <sz val="10"/>
    </font>
    <font>
      <name val="Segoe UI"/>
      <color rgb="00222222"/>
      <sz val="10"/>
    </font>
    <font>
      <name val="Segoe UI"/>
      <b val="1"/>
      <color rgb="0016A34A"/>
      <sz val="10"/>
    </font>
    <font>
      <name val="Segoe UI"/>
      <b val="1"/>
      <color rgb="00D97706"/>
      <sz val="10"/>
    </font>
    <font>
      <name val="Segoe UI"/>
      <b val="1"/>
      <color rgb="00DC2626"/>
      <sz val="10"/>
    </font>
    <font>
      <name val="Calibri"/>
      <b val="1"/>
      <color rgb="00B45309"/>
      <sz val="11"/>
    </font>
    <font>
      <name val="Calibri"/>
      <color rgb="00000000"/>
      <sz val="11"/>
    </font>
    <font>
      <name val="Calibri"/>
      <b val="1"/>
      <color rgb="0016A34A"/>
      <sz val="11"/>
    </font>
    <font>
      <name val="Calibri"/>
      <b val="1"/>
      <sz val="11"/>
    </font>
    <font>
      <name val="Segoe UI"/>
      <b val="1"/>
      <color rgb="001E293B"/>
      <sz val="11"/>
    </font>
    <font>
      <name val="Calibri"/>
      <b val="1"/>
      <color rgb="000F172A"/>
      <sz val="10"/>
    </font>
    <font>
      <name val="Calibri"/>
      <color rgb="001E293B"/>
      <sz val="10"/>
    </font>
    <font>
      <name val="Calibri"/>
      <b val="1"/>
      <color rgb="0016A34A"/>
      <sz val="10"/>
    </font>
    <font>
      <name val="Calibri"/>
      <b val="1"/>
      <color rgb="00991B1B"/>
      <sz val="11"/>
    </font>
    <font>
      <name val="Calibri"/>
      <b val="1"/>
      <color rgb="001E293B"/>
      <sz val="10"/>
    </font>
    <font>
      <name val="Calibri"/>
      <b val="1"/>
      <color rgb="00D97706"/>
      <sz val="11"/>
    </font>
    <font>
      <name val="Calibri"/>
      <b val="1"/>
      <color rgb="004B5563"/>
      <sz val="11"/>
    </font>
    <font>
      <name val="Calibri"/>
      <b val="1"/>
      <color rgb="004B5563"/>
      <sz val="10"/>
    </font>
    <font>
      <name val="Calibri"/>
      <b val="1"/>
      <color rgb="002563EB"/>
      <sz val="11"/>
    </font>
    <font>
      <name val="Calibri"/>
      <b val="1"/>
      <color rgb="002563EB"/>
      <sz val="10"/>
    </font>
    <font/>
    <font>
      <name val="Consolas"/>
      <b val="1"/>
      <color rgb="000F766E"/>
      <sz val="10"/>
    </font>
    <font>
      <name val="Calibri"/>
      <b val="1"/>
      <color rgb="00D97706"/>
      <sz val="10"/>
    </font>
  </fonts>
  <fills count="17">
    <fill>
      <patternFill/>
    </fill>
    <fill>
      <patternFill patternType="gray125"/>
    </fill>
    <fill>
      <patternFill patternType="solid">
        <fgColor rgb="001B5B65"/>
        <bgColor rgb="001B5B65"/>
      </patternFill>
    </fill>
    <fill>
      <patternFill patternType="solid">
        <fgColor rgb="00FFFFFF"/>
        <bgColor rgb="00FFFFFF"/>
      </patternFill>
    </fill>
    <fill>
      <patternFill patternType="solid">
        <fgColor rgb="00F8FAFC"/>
        <bgColor rgb="00F8FAFC"/>
      </patternFill>
    </fill>
    <fill>
      <patternFill patternType="solid">
        <fgColor rgb="00E5F6F8"/>
        <bgColor rgb="00E5F6F8"/>
      </patternFill>
    </fill>
    <fill>
      <patternFill patternType="solid">
        <fgColor rgb="00D1FAE5"/>
        <bgColor rgb="00D1FAE5"/>
      </patternFill>
    </fill>
    <fill>
      <patternFill patternType="solid">
        <fgColor rgb="00FEF3C7"/>
        <bgColor rgb="00FEF3C7"/>
      </patternFill>
    </fill>
    <fill>
      <patternFill patternType="solid">
        <fgColor rgb="00FFF3CD"/>
        <bgColor rgb="00FFF3CD"/>
      </patternFill>
    </fill>
    <fill>
      <patternFill patternType="solid">
        <fgColor rgb="FFF0FDF4"/>
        <bgColor rgb="FFF0FDF4"/>
      </patternFill>
    </fill>
    <fill>
      <patternFill patternType="solid">
        <fgColor rgb="FFE0E7FF"/>
        <bgColor rgb="FFE0E7FF"/>
      </patternFill>
    </fill>
    <fill>
      <patternFill patternType="solid">
        <fgColor rgb="FFF1F5F9"/>
        <bgColor rgb="FFF1F5F9"/>
      </patternFill>
    </fill>
    <fill>
      <patternFill patternType="solid">
        <fgColor rgb="FFFEE2E2"/>
        <bgColor rgb="FFFEE2E2"/>
      </patternFill>
    </fill>
    <fill>
      <patternFill patternType="solid">
        <fgColor rgb="FFFEF3C7"/>
        <bgColor rgb="FFFEF3C7"/>
      </patternFill>
    </fill>
    <fill>
      <patternFill patternType="solid">
        <fgColor rgb="FFFFFBEB"/>
        <bgColor rgb="FFFFFBEB"/>
      </patternFill>
    </fill>
    <fill>
      <patternFill patternType="solid">
        <fgColor rgb="FFF3F4F6"/>
        <bgColor rgb="FFF3F4F6"/>
      </patternFill>
    </fill>
    <fill>
      <patternFill patternType="solid">
        <fgColor rgb="FFEFF6FF"/>
        <bgColor rgb="FFEFF6FF"/>
      </patternFill>
    </fill>
  </fills>
  <borders count="1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D1D5DB"/>
      </left>
      <right style="thin">
        <color rgb="00D1D5DB"/>
      </right>
      <top style="thin">
        <color rgb="00D1D5DB"/>
      </top>
      <bottom style="thin">
        <color rgb="00D1D5DB"/>
      </bottom>
    </border>
    <border>
      <left style="thin">
        <color rgb="FFD1D5DB"/>
      </left>
      <right style="thin">
        <color rgb="FFD1D5DB"/>
      </right>
      <top style="thin">
        <color rgb="FFD1D5DB"/>
      </top>
      <bottom style="thin">
        <color rgb="FFD1D5DB"/>
      </bottom>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ttom style="double">
        <color rgb="FF0F172A"/>
      </bottom>
    </border>
    <border>
      <left/>
      <right/>
      <top style="thin">
        <color rgb="FFCBD5E1"/>
      </top>
      <bottom/>
      <diagonal/>
    </border>
    <border>
      <left/>
      <right style="thin">
        <color rgb="FFCBD5E1"/>
      </right>
      <top style="thin">
        <color rgb="FFCBD5E1"/>
      </top>
      <bottom/>
      <diagonal/>
    </border>
    <border>
      <left/>
      <right/>
      <top style="thin">
        <color rgb="FFCBD5E1"/>
      </top>
      <bottom style="double">
        <color rgb="FF0F172A"/>
      </bottom>
      <diagonal/>
    </border>
    <border>
      <left/>
      <right style="thin">
        <color rgb="FFCBD5E1"/>
      </right>
      <top style="thin">
        <color rgb="FFCBD5E1"/>
      </top>
      <bottom style="double">
        <color rgb="FF0F172A"/>
      </bottom>
      <diagonal/>
    </border>
    <border/>
  </borders>
  <cellStyleXfs count="1">
    <xf numFmtId="0" fontId="0" fillId="0" borderId="0"/>
  </cellStyleXfs>
  <cellXfs count="10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2" fontId="5" fillId="3"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2" fontId="5" fillId="4"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2" fontId="0" fillId="0" borderId="1" applyAlignment="1" pivotButton="0" quotePrefix="0" xfId="0">
      <alignment horizontal="center" vertical="center"/>
    </xf>
    <xf numFmtId="0" fontId="5" fillId="5" borderId="1" applyAlignment="1" pivotButton="0" quotePrefix="0" xfId="0">
      <alignment horizontal="right" vertical="center"/>
    </xf>
    <xf numFmtId="0" fontId="0" fillId="5" borderId="1" pivotButton="0" quotePrefix="0" xfId="0"/>
    <xf numFmtId="2" fontId="6" fillId="5" borderId="1" applyAlignment="1" pivotButton="0" quotePrefix="0" xfId="0">
      <alignment horizontal="center" vertical="center"/>
    </xf>
    <xf numFmtId="0" fontId="7" fillId="6" borderId="1" applyAlignment="1" pivotButton="0" quotePrefix="0" xfId="0">
      <alignment horizontal="center" vertical="center"/>
    </xf>
    <xf numFmtId="0" fontId="0" fillId="0" borderId="4" pivotButton="0" quotePrefix="0" xfId="0"/>
    <xf numFmtId="0" fontId="0" fillId="0" borderId="5" pivotButton="0" quotePrefix="0" xfId="0"/>
    <xf numFmtId="0" fontId="4" fillId="3" borderId="6" applyAlignment="1" pivotButton="0" quotePrefix="0" xfId="0">
      <alignment horizontal="center" vertical="center"/>
    </xf>
    <xf numFmtId="0" fontId="8" fillId="6" borderId="6" applyAlignment="1" pivotButton="0" quotePrefix="0" xfId="0">
      <alignment horizontal="center" vertical="center"/>
    </xf>
    <xf numFmtId="0" fontId="4" fillId="3" borderId="6" applyAlignment="1" pivotButton="0" quotePrefix="0" xfId="0">
      <alignment horizontal="left" vertical="center"/>
    </xf>
    <xf numFmtId="2" fontId="5" fillId="3" borderId="6" applyAlignment="1" pivotButton="0" quotePrefix="0" xfId="0">
      <alignment horizontal="center" vertical="center"/>
    </xf>
    <xf numFmtId="0" fontId="4" fillId="4" borderId="6" applyAlignment="1" pivotButton="0" quotePrefix="0" xfId="0">
      <alignment horizontal="center" vertical="center"/>
    </xf>
    <xf numFmtId="0" fontId="4" fillId="4" borderId="6" applyAlignment="1" pivotButton="0" quotePrefix="0" xfId="0">
      <alignment horizontal="left" vertical="center"/>
    </xf>
    <xf numFmtId="0" fontId="2" fillId="0" borderId="6" applyAlignment="1" pivotButton="0" quotePrefix="0" xfId="0">
      <alignment horizontal="center" vertical="center"/>
    </xf>
    <xf numFmtId="0" fontId="0" fillId="0" borderId="6" applyAlignment="1" pivotButton="0" quotePrefix="0" xfId="0">
      <alignment horizontal="center" vertical="center"/>
    </xf>
    <xf numFmtId="0" fontId="9" fillId="0" borderId="6" applyAlignment="1" pivotButton="0" quotePrefix="0" xfId="0">
      <alignment horizontal="center" vertical="center"/>
    </xf>
    <xf numFmtId="0" fontId="0" fillId="0" borderId="6" applyAlignment="1" pivotButton="0" quotePrefix="0" xfId="0">
      <alignment horizontal="left" vertical="center"/>
    </xf>
    <xf numFmtId="2" fontId="0" fillId="0" borderId="6" applyAlignment="1" pivotButton="0" quotePrefix="0" xfId="0">
      <alignment horizontal="center" vertical="center"/>
    </xf>
    <xf numFmtId="0" fontId="10" fillId="7" borderId="6" applyAlignment="1" pivotButton="0" quotePrefix="0" xfId="0">
      <alignment horizontal="center" vertical="center"/>
    </xf>
    <xf numFmtId="0" fontId="11" fillId="0" borderId="0" pivotButton="0" quotePrefix="0" xfId="0"/>
    <xf numFmtId="0" fontId="12" fillId="0" borderId="0" pivotButton="0" quotePrefix="0" xfId="0"/>
    <xf numFmtId="0" fontId="13" fillId="0" borderId="0" pivotButton="0" quotePrefix="0" xfId="0"/>
    <xf numFmtId="0" fontId="14" fillId="4" borderId="1" applyAlignment="1" pivotButton="0" quotePrefix="0" xfId="0">
      <alignment horizontal="center" vertical="center" wrapText="1"/>
    </xf>
    <xf numFmtId="0" fontId="14" fillId="4" borderId="1" applyAlignment="1" pivotButton="0" quotePrefix="0" xfId="0">
      <alignment horizontal="left" vertical="center" wrapText="1"/>
    </xf>
    <xf numFmtId="0" fontId="15" fillId="4" borderId="1" applyAlignment="1" pivotButton="0" quotePrefix="0" xfId="0">
      <alignment horizontal="left"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15" fillId="4"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4" borderId="1" applyAlignment="1" pivotButton="0" quotePrefix="0" xfId="0">
      <alignment horizontal="center" vertical="center" wrapText="1"/>
    </xf>
    <xf numFmtId="0" fontId="18" fillId="0" borderId="1" applyAlignment="1" pivotButton="0" quotePrefix="0" xfId="0">
      <alignment horizontal="center" vertical="center" wrapText="1"/>
    </xf>
    <xf numFmtId="0" fontId="17" fillId="4" borderId="1" applyAlignment="1" pivotButton="0" quotePrefix="0" xfId="0">
      <alignment horizontal="center" vertical="center" wrapText="1"/>
    </xf>
    <xf numFmtId="0" fontId="19" fillId="8" borderId="1" applyAlignment="1" pivotButton="0" quotePrefix="0" xfId="0">
      <alignment horizontal="center" vertical="center"/>
    </xf>
    <xf numFmtId="0" fontId="20" fillId="0" borderId="1" applyAlignment="1" pivotButton="0" quotePrefix="0" xfId="0">
      <alignment horizontal="center" vertical="center"/>
    </xf>
    <xf numFmtId="0" fontId="0" fillId="0" borderId="1" applyAlignment="1" pivotButton="0" quotePrefix="0" xfId="0">
      <alignment horizontal="left" vertical="center" wrapText="1"/>
    </xf>
    <xf numFmtId="0" fontId="21" fillId="0" borderId="1" applyAlignment="1" pivotButton="0" quotePrefix="0" xfId="0">
      <alignment horizontal="center" vertical="center"/>
    </xf>
    <xf numFmtId="0" fontId="22" fillId="0" borderId="7" applyAlignment="1" pivotButton="0" quotePrefix="0" xfId="0">
      <alignment horizontal="center" vertical="center"/>
    </xf>
    <xf numFmtId="0" fontId="21" fillId="9" borderId="7" applyAlignment="1" pivotButton="0" quotePrefix="0" xfId="0">
      <alignment horizontal="center" vertical="center"/>
    </xf>
    <xf numFmtId="0" fontId="23" fillId="10" borderId="0" applyAlignment="1" pivotButton="0" quotePrefix="0" xfId="0">
      <alignment horizontal="left" vertical="center" wrapText="1"/>
    </xf>
    <xf numFmtId="0" fontId="24" fillId="11" borderId="8" applyAlignment="1" pivotButton="0" quotePrefix="0" xfId="0">
      <alignment horizontal="center" vertical="center"/>
    </xf>
    <xf numFmtId="0" fontId="24" fillId="11" borderId="8" applyAlignment="1" pivotButton="0" quotePrefix="0" xfId="0">
      <alignment horizontal="left" vertical="center" wrapText="1"/>
    </xf>
    <xf numFmtId="0" fontId="25" fillId="0" borderId="8" applyAlignment="1" pivotButton="0" quotePrefix="0" xfId="0">
      <alignment horizontal="center" vertical="center"/>
    </xf>
    <xf numFmtId="0" fontId="25" fillId="0" borderId="8" applyAlignment="1" pivotButton="0" quotePrefix="0" xfId="0">
      <alignment horizontal="left" vertical="center" wrapText="1"/>
    </xf>
    <xf numFmtId="0" fontId="26" fillId="9" borderId="8" applyAlignment="1" pivotButton="0" quotePrefix="0" xfId="0">
      <alignment horizontal="center" vertical="center"/>
    </xf>
    <xf numFmtId="0" fontId="27" fillId="12" borderId="9" applyAlignment="1" pivotButton="0" quotePrefix="0" xfId="0">
      <alignment horizontal="right" vertical="center"/>
    </xf>
    <xf numFmtId="0" fontId="0" fillId="0" borderId="9" pivotButton="0" quotePrefix="0" xfId="0"/>
    <xf numFmtId="0" fontId="27" fillId="12" borderId="9" applyAlignment="1" pivotButton="0" quotePrefix="0" xfId="0">
      <alignment horizontal="center" vertical="center"/>
    </xf>
    <xf numFmtId="0" fontId="26" fillId="12" borderId="9" applyAlignment="1" pivotButton="0" quotePrefix="0" xfId="0">
      <alignment horizontal="center" vertical="center"/>
    </xf>
    <xf numFmtId="0" fontId="0" fillId="12" borderId="9" pivotButton="0" quotePrefix="0" xfId="0"/>
    <xf numFmtId="0" fontId="23" fillId="13" borderId="0" applyAlignment="1" pivotButton="0" quotePrefix="0" xfId="0">
      <alignment horizontal="left" vertical="center" wrapText="1"/>
    </xf>
    <xf numFmtId="0" fontId="28" fillId="0" borderId="8" applyAlignment="1" pivotButton="0" quotePrefix="0" xfId="0">
      <alignment horizontal="center" vertical="center"/>
    </xf>
    <xf numFmtId="0" fontId="28" fillId="12" borderId="9" pivotButton="0" quotePrefix="0" xfId="0"/>
    <xf numFmtId="0" fontId="2"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7" applyAlignment="1" pivotButton="0" quotePrefix="0" xfId="0">
      <alignment horizontal="left" vertical="center" wrapText="1"/>
    </xf>
    <xf numFmtId="2" fontId="0" fillId="0" borderId="7" applyAlignment="1" pivotButton="0" quotePrefix="0" xfId="0">
      <alignment horizontal="center" vertical="center"/>
    </xf>
    <xf numFmtId="0" fontId="29" fillId="14" borderId="7" applyAlignment="1" pivotButton="0" quotePrefix="0" xfId="0">
      <alignment horizontal="center" vertical="center"/>
    </xf>
    <xf numFmtId="0" fontId="30" fillId="15" borderId="7" applyAlignment="1" pivotButton="0" quotePrefix="0" xfId="0">
      <alignment horizontal="center" vertical="center"/>
    </xf>
    <xf numFmtId="0" fontId="0" fillId="0" borderId="12" pivotButton="0" quotePrefix="0" xfId="0"/>
    <xf numFmtId="0" fontId="0" fillId="0" borderId="13" pivotButton="0" quotePrefix="0" xfId="0"/>
    <xf numFmtId="0" fontId="23" fillId="10" borderId="0" pivotButton="0" quotePrefix="0" xfId="0"/>
    <xf numFmtId="0" fontId="24" fillId="11" borderId="7" applyAlignment="1" pivotButton="0" quotePrefix="0" xfId="0">
      <alignment horizontal="center" vertical="center"/>
    </xf>
    <xf numFmtId="0" fontId="25" fillId="0" borderId="7" applyAlignment="1" pivotButton="0" quotePrefix="0" xfId="0">
      <alignment horizontal="center" vertical="center"/>
    </xf>
    <xf numFmtId="0" fontId="25" fillId="0" borderId="7" applyAlignment="1" pivotButton="0" quotePrefix="0" xfId="0">
      <alignment horizontal="left" vertical="center" wrapText="1"/>
    </xf>
    <xf numFmtId="0" fontId="30" fillId="0" borderId="7" applyAlignment="1" pivotButton="0" quotePrefix="0" xfId="0">
      <alignment horizontal="center" vertical="center"/>
    </xf>
    <xf numFmtId="0" fontId="23" fillId="13" borderId="0" pivotButton="0" quotePrefix="0" xfId="0"/>
    <xf numFmtId="0" fontId="31" fillId="15" borderId="7" applyAlignment="1" pivotButton="0" quotePrefix="0" xfId="0">
      <alignment horizontal="center" vertical="center"/>
    </xf>
    <xf numFmtId="0" fontId="32" fillId="16" borderId="7" applyAlignment="1" pivotButton="0" quotePrefix="0" xfId="0">
      <alignment horizontal="center" vertical="center"/>
    </xf>
    <xf numFmtId="0" fontId="26" fillId="9" borderId="7" applyAlignment="1" pivotButton="0" quotePrefix="0" xfId="0">
      <alignment horizontal="center" vertical="center"/>
    </xf>
    <xf numFmtId="0" fontId="33" fillId="16" borderId="7" applyAlignment="1" pivotButton="0" quotePrefix="0" xfId="0">
      <alignment horizontal="center" vertical="center"/>
    </xf>
    <xf numFmtId="2" fontId="25" fillId="0" borderId="8" applyAlignment="1" pivotButton="0" quotePrefix="0" xfId="0">
      <alignment horizontal="center" vertical="center"/>
    </xf>
    <xf numFmtId="0" fontId="23" fillId="10" borderId="14" applyAlignment="1" pivotButton="0" quotePrefix="0" xfId="0">
      <alignment horizontal="left" vertical="center" wrapText="1"/>
    </xf>
    <xf numFmtId="0" fontId="34" fillId="0" borderId="14" pivotButton="0" quotePrefix="0" xfId="0"/>
    <xf numFmtId="0" fontId="26" fillId="16" borderId="8" applyAlignment="1" pivotButton="0" quotePrefix="0" xfId="0">
      <alignment horizontal="center" vertical="center"/>
    </xf>
    <xf numFmtId="0" fontId="34" fillId="12" borderId="9" pivotButton="0" quotePrefix="0" xfId="0"/>
    <xf numFmtId="0" fontId="23" fillId="13" borderId="14" applyAlignment="1" pivotButton="0" quotePrefix="0" xfId="0">
      <alignment horizontal="left" vertical="center" wrapText="1"/>
    </xf>
    <xf numFmtId="0" fontId="28" fillId="12" borderId="9" applyAlignment="1" pivotButton="0" quotePrefix="0" xfId="0">
      <alignment horizontal="left" vertical="center" wrapText="1"/>
    </xf>
    <xf numFmtId="0" fontId="21" fillId="9" borderId="8" applyAlignment="1" pivotButton="0" quotePrefix="0" xfId="0">
      <alignment horizontal="center" vertical="center"/>
    </xf>
    <xf numFmtId="0" fontId="30" fillId="15" borderId="8" applyAlignment="1" pivotButton="0" quotePrefix="0" xfId="0">
      <alignment horizontal="center" vertical="center"/>
    </xf>
    <xf numFmtId="0" fontId="23" fillId="0" borderId="0" pivotButton="0" quotePrefix="0" xfId="0"/>
    <xf numFmtId="0" fontId="31" fillId="15" borderId="8" applyAlignment="1" pivotButton="0" quotePrefix="0" xfId="0">
      <alignment horizontal="center" vertical="center"/>
    </xf>
    <xf numFmtId="0" fontId="32" fillId="16" borderId="8" applyAlignment="1" pivotButton="0" quotePrefix="0" xfId="0">
      <alignment horizontal="center" vertical="center"/>
    </xf>
    <xf numFmtId="0" fontId="33" fillId="16" borderId="8" applyAlignment="1" pivotButton="0" quotePrefix="0" xfId="0">
      <alignment horizontal="center" vertical="center"/>
    </xf>
    <xf numFmtId="0" fontId="28" fillId="0" borderId="8" applyAlignment="1" pivotButton="0" quotePrefix="0" xfId="0">
      <alignment horizontal="left" vertical="center" wrapText="1"/>
    </xf>
    <xf numFmtId="0" fontId="35" fillId="0" borderId="8" applyAlignment="1" pivotButton="0" quotePrefix="0" xfId="0">
      <alignment horizontal="left" vertical="center" wrapText="1"/>
    </xf>
    <xf numFmtId="0" fontId="36" fillId="0" borderId="8" applyAlignment="1" pivotButton="0" quotePrefix="0" xfId="0">
      <alignment horizontal="center" vertical="center"/>
    </xf>
    <xf numFmtId="0" fontId="6" fillId="5" borderId="1" applyAlignment="1" pivotButton="0" quotePrefix="0" xfId="0">
      <alignment horizontal="center" vertical="center"/>
    </xf>
    <xf numFmtId="0" fontId="25" fillId="0" borderId="8" applyAlignment="1" pivotButton="0" quotePrefix="0" xfId="0">
      <alignment horizontal="left" vertical="center"/>
    </xf>
    <xf numFmtId="0" fontId="28" fillId="0" borderId="8" applyAlignment="1" pivotButton="0" quotePrefix="0" xfId="0">
      <alignment horizontal="left" vertical="center"/>
    </xf>
    <xf numFmtId="0" fontId="26" fillId="0" borderId="8" applyAlignment="1" pivotButton="0" quotePrefix="0" xfId="0">
      <alignment horizontal="center" vertical="center"/>
    </xf>
  </cellXfs>
  <cellStyles count="1">
    <cellStyle name="Normal" xfId="0" builtinId="0" hidden="0"/>
  </cellStyles>
  <dxfs count="1">
    <dxf>
      <font>
        <name val="Segoe UI"/>
        <b val="1"/>
        <color rgb="00065F46"/>
        <sz val="10"/>
      </font>
      <fill>
        <patternFill patternType="solid">
          <fgColor rgb="00D1FAE5"/>
          <b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8" customWidth="1" min="1" max="1"/>
    <col width="14" customWidth="1" min="2" max="2"/>
    <col width="20" customWidth="1" min="3" max="3"/>
    <col width="55" customWidth="1" min="4" max="4"/>
    <col width="14" customWidth="1" min="5" max="5"/>
    <col width="12" customWidth="1" min="6" max="6"/>
    <col width="12" customWidth="1" min="7" max="7"/>
    <col width="15" customWidth="1" min="8" max="8"/>
    <col width="18" customWidth="1" min="9" max="9"/>
  </cols>
  <sheetData>
    <row r="1">
      <c r="A1" s="1" t="inlineStr">
        <is>
          <t>BẢNG THEO DÕI VÀ NHẬP LIỆU THỜI GIAN CÔNG VIỆC</t>
        </is>
      </c>
    </row>
    <row r="2">
      <c r="A2" s="2" t="inlineStr">
        <is>
          <t>Dự án: GOBIKE (Xe Đạp Trợ Lực Điện) | Nền tảng: WordPress 6.x + Flatsome Theme (WooCommerce)</t>
        </is>
      </c>
    </row>
    <row r="4">
      <c r="A4" s="3" t="inlineStr">
        <is>
          <t>STT</t>
        </is>
      </c>
      <c r="B4" s="3" t="inlineStr">
        <is>
          <t>Ngày</t>
        </is>
      </c>
      <c r="C4" s="3" t="inlineStr">
        <is>
          <t>Mã Task</t>
        </is>
      </c>
      <c r="D4" s="3" t="inlineStr">
        <is>
          <t>Nội Dung Công Việc Chi Tiết</t>
        </is>
      </c>
      <c r="E4" s="3" t="inlineStr">
        <is>
          <t>Người Thực Hiện</t>
        </is>
      </c>
      <c r="F4" s="3" t="inlineStr">
        <is>
          <t>Bắt Đầu</t>
        </is>
      </c>
      <c r="G4" s="3" t="inlineStr">
        <is>
          <t>Kết Thúc</t>
        </is>
      </c>
      <c r="H4" s="3" t="inlineStr">
        <is>
          <t>Tổng Giờ (h)</t>
        </is>
      </c>
      <c r="I4" s="3" t="inlineStr">
        <is>
          <t>Trạng Thái</t>
        </is>
      </c>
    </row>
    <row r="5">
      <c r="A5" s="4" t="n">
        <v>1</v>
      </c>
      <c r="B5" s="4" t="inlineStr">
        <is>
          <t>2026-09-07</t>
        </is>
      </c>
      <c r="C5" s="17" t="inlineStr">
        <is>
          <t>Task 1</t>
        </is>
      </c>
      <c r="D5" s="5" t="inlineStr">
        <is>
          <t>Khởi tạo Taxonomy danh mục xe &amp; Thuộc tính kỹ thuật (Pin, Động cơ, Quãng đường, Tốc độ)</t>
        </is>
      </c>
      <c r="E5" s="4" t="inlineStr">
        <is>
          <t>Developer</t>
        </is>
      </c>
      <c r="F5" s="4" t="inlineStr">
        <is>
          <t>08:00</t>
        </is>
      </c>
      <c r="G5" s="4" t="inlineStr">
        <is>
          <t>09:00</t>
        </is>
      </c>
      <c r="H5" s="6">
        <f>IF(AND(F5&lt;&gt;"",G5&lt;&gt;""),(G5-F5)*24,"")</f>
        <v/>
      </c>
      <c r="I5" s="17" t="inlineStr">
        <is>
          <t>Hoàn thành</t>
        </is>
      </c>
    </row>
    <row r="6">
      <c r="A6" s="7" t="n">
        <v>2</v>
      </c>
      <c r="B6" s="7" t="inlineStr">
        <is>
          <t>2026-09-07</t>
        </is>
      </c>
      <c r="C6" s="17" t="inlineStr">
        <is>
          <t>Task 2</t>
        </is>
      </c>
      <c r="D6" s="8" t="inlineStr">
        <is>
          <t>Cấu hình Header đa tầng (Top Bar thông báo đỏ + Main Header đen + Search Live + Bộ icon tiện ích)</t>
        </is>
      </c>
      <c r="E6" s="7" t="inlineStr">
        <is>
          <t>Developer</t>
        </is>
      </c>
      <c r="F6" s="7" t="inlineStr">
        <is>
          <t>09:00</t>
        </is>
      </c>
      <c r="G6" s="7" t="inlineStr">
        <is>
          <t>10:30</t>
        </is>
      </c>
      <c r="H6" s="9">
        <f>IF(AND(F6&lt;&gt;"",G6&lt;&gt;""),(G6-F6)*24,"")</f>
        <v/>
      </c>
      <c r="I6" s="17" t="inlineStr">
        <is>
          <t>Hoàn thành</t>
        </is>
      </c>
    </row>
    <row r="7">
      <c r="A7" s="20" t="n">
        <v>3</v>
      </c>
      <c r="B7" s="20" t="inlineStr">
        <is>
          <t>2026-09-07</t>
        </is>
      </c>
      <c r="C7" s="21" t="inlineStr">
        <is>
          <t>Task 3</t>
        </is>
      </c>
      <c r="D7" s="22" t="inlineStr">
        <is>
          <t>Xây dựng Navigation Menu đỏ chính &amp; Mega Menu danh mục sản phẩm</t>
        </is>
      </c>
      <c r="E7" s="20" t="inlineStr">
        <is>
          <t>Developer</t>
        </is>
      </c>
      <c r="F7" s="20" t="inlineStr">
        <is>
          <t>10:30</t>
        </is>
      </c>
      <c r="G7" s="20" t="inlineStr">
        <is>
          <t>11:30</t>
        </is>
      </c>
      <c r="H7" s="23">
        <f>IF(AND(F7&lt;&gt;"",G7&lt;&gt;""),(G7-F7)*24,"")</f>
        <v/>
      </c>
      <c r="I7" s="21" t="inlineStr">
        <is>
          <t>Hoàn thành</t>
        </is>
      </c>
    </row>
    <row r="8">
      <c r="A8" s="24" t="n">
        <v>4</v>
      </c>
      <c r="B8" s="24" t="inlineStr">
        <is>
          <t>2026-09-07</t>
        </is>
      </c>
      <c r="C8" s="21" t="inlineStr">
        <is>
          <t>Task 4</t>
        </is>
      </c>
      <c r="D8" s="25" t="inlineStr">
        <is>
          <t>Xây dựng Hero Section (Slider banner khuyến mãi + Widget tin tức + Banner 1H giao nhanh)</t>
        </is>
      </c>
      <c r="E8" s="24" t="inlineStr">
        <is>
          <t>Developer</t>
        </is>
      </c>
      <c r="F8" s="24" t="inlineStr">
        <is>
          <t>11:30</t>
        </is>
      </c>
      <c r="G8" s="24" t="inlineStr">
        <is>
          <t>12:30</t>
        </is>
      </c>
      <c r="H8" s="24">
        <f>IF(AND(F8&lt;&gt;"",G8&lt;&gt;""),(G8-F8)*24,"")</f>
        <v/>
      </c>
      <c r="I8" s="21" t="inlineStr">
        <is>
          <t>Hoàn thành</t>
        </is>
      </c>
    </row>
    <row r="9">
      <c r="A9" s="26" t="n">
        <v>5</v>
      </c>
      <c r="B9" s="27" t="inlineStr">
        <is>
          <t>2026-09-07</t>
        </is>
      </c>
      <c r="C9" s="21" t="inlineStr">
        <is>
          <t>Task 5</t>
        </is>
      </c>
      <c r="D9" s="29" t="inlineStr">
        <is>
          <t>Xây dựng Section 'Giờ Vàng - Giá Cực Sốc (19h-21h)' (Flash Sale tabs + Progress bar)</t>
        </is>
      </c>
      <c r="E9" s="27" t="inlineStr">
        <is>
          <t>Developer</t>
        </is>
      </c>
      <c r="F9" s="27" t="inlineStr">
        <is>
          <t>13:30</t>
        </is>
      </c>
      <c r="G9" s="27" t="inlineStr">
        <is>
          <t>15:30</t>
        </is>
      </c>
      <c r="H9" s="30">
        <f>IF(AND(F9&lt;&gt;"",G9&lt;&gt;""),(G9-F9)*24,"")</f>
        <v/>
      </c>
      <c r="I9" s="21" t="inlineStr">
        <is>
          <t>Hoàn thành</t>
        </is>
      </c>
    </row>
    <row r="10">
      <c r="A10" s="26" t="n">
        <v>6</v>
      </c>
      <c r="B10" s="27" t="inlineStr">
        <is>
          <t>2026-09-07</t>
        </is>
      </c>
      <c r="C10" s="27" t="inlineStr">
        <is>
          <t>Task 6</t>
        </is>
      </c>
      <c r="D10" s="29" t="inlineStr">
        <is>
          <t>Xây dựng 4 khối danh mục sản phẩm Trang Chủ (Shortcode tùy biến 5 cột: 1 Big Item 40% + 8 Small)</t>
        </is>
      </c>
      <c r="E10" s="27" t="inlineStr">
        <is>
          <t>Developer</t>
        </is>
      </c>
      <c r="F10" s="27" t="inlineStr">
        <is>
          <t>15:30</t>
        </is>
      </c>
      <c r="G10" s="27" t="inlineStr">
        <is>
          <t>17:00</t>
        </is>
      </c>
      <c r="H10" s="30">
        <f>IF(AND(F10&lt;&gt;"",G10&lt;&gt;""),(G10-F10)*24,"")</f>
        <v/>
      </c>
      <c r="I10" s="27" t="inlineStr">
        <is>
          <t>Hoàn thành</t>
        </is>
      </c>
    </row>
    <row r="11">
      <c r="A11" s="10" t="n">
        <v>7</v>
      </c>
      <c r="B11" s="11" t="inlineStr">
        <is>
          <t>2026-09-07</t>
        </is>
      </c>
      <c r="C11" s="11" t="inlineStr">
        <is>
          <t>Task 7</t>
        </is>
      </c>
      <c r="D11" s="12" t="inlineStr">
        <is>
          <t>Xây dựng Section Tin tức - Bài viết (Blog grid 4 cột)</t>
        </is>
      </c>
      <c r="E11" s="11" t="inlineStr">
        <is>
          <t>Developer</t>
        </is>
      </c>
      <c r="F11" s="11" t="inlineStr">
        <is>
          <t>17:00</t>
        </is>
      </c>
      <c r="G11" s="11" t="inlineStr">
        <is>
          <t>18:00</t>
        </is>
      </c>
      <c r="H11" s="13">
        <f>IF(AND(F11&lt;&gt;"",G11&lt;&gt;""),(G11-F11)*24,"")</f>
        <v/>
      </c>
      <c r="I11" s="11" t="inlineStr">
        <is>
          <t>Hoàn thành</t>
        </is>
      </c>
    </row>
    <row r="12">
      <c r="A12" s="10" t="n">
        <v>8</v>
      </c>
      <c r="B12" s="11" t="inlineStr">
        <is>
          <t>2026-09-07</t>
        </is>
      </c>
      <c r="C12" s="11" t="inlineStr">
        <is>
          <t>Task 8</t>
        </is>
      </c>
      <c r="D12" s="12" t="inlineStr">
        <is>
          <t>Xây dựng Khối 4 Cam kết dịch vụ (Trust Badges)</t>
        </is>
      </c>
      <c r="E12" s="11" t="inlineStr">
        <is>
          <t>Developer</t>
        </is>
      </c>
      <c r="F12" s="11" t="inlineStr">
        <is>
          <t>18:00</t>
        </is>
      </c>
      <c r="G12" s="11" t="inlineStr">
        <is>
          <t>18:30</t>
        </is>
      </c>
      <c r="H12" s="13">
        <f>IF(AND(F12&lt;&gt;"",G12&lt;&gt;""),(G12-F12)*24,"")</f>
        <v/>
      </c>
      <c r="I12" s="11" t="inlineStr">
        <is>
          <t>Hoàn thành</t>
        </is>
      </c>
    </row>
    <row r="13">
      <c r="A13" s="10" t="n">
        <v>9</v>
      </c>
      <c r="B13" s="11" t="inlineStr">
        <is>
          <t>2026-09-07</t>
        </is>
      </c>
      <c r="C13" s="11" t="inlineStr">
        <is>
          <t>Task 9</t>
        </is>
      </c>
      <c r="D13" s="12" t="inlineStr">
        <is>
          <t>Xây dựng Footer 4 cột hoàn chỉnh (Showroom + Hotline + Chính sách + Fanpage/BCT)</t>
        </is>
      </c>
      <c r="E13" s="11" t="inlineStr">
        <is>
          <t>Developer</t>
        </is>
      </c>
      <c r="F13" s="11" t="inlineStr">
        <is>
          <t>19:30</t>
        </is>
      </c>
      <c r="G13" s="11" t="inlineStr">
        <is>
          <t>20:45</t>
        </is>
      </c>
      <c r="H13" s="13">
        <f>IF(AND(F13&lt;&gt;"",G13&lt;&gt;""),(G13-F13)*24,"")</f>
        <v/>
      </c>
      <c r="I13" s="11" t="inlineStr">
        <is>
          <t>Hoàn thành</t>
        </is>
      </c>
    </row>
    <row r="14">
      <c r="A14" s="10" t="n">
        <v>10</v>
      </c>
      <c r="B14" s="11" t="inlineStr">
        <is>
          <t>2026-09-07</t>
        </is>
      </c>
      <c r="C14" s="11" t="inlineStr">
        <is>
          <t>Task 10</t>
        </is>
      </c>
      <c r="D14" s="12" t="inlineStr">
        <is>
          <t>Kiểm thử hiển thị Responsive Trang Chủ (Mobile &amp; Tablet) &amp; Tinh chỉnh CSS</t>
        </is>
      </c>
      <c r="E14" s="11" t="inlineStr">
        <is>
          <t>Developer</t>
        </is>
      </c>
      <c r="F14" s="11" t="inlineStr">
        <is>
          <t>20:45</t>
        </is>
      </c>
      <c r="G14" s="11" t="inlineStr">
        <is>
          <t>21:45</t>
        </is>
      </c>
      <c r="H14" s="13">
        <f>IF(AND(F14&lt;&gt;"",G14&lt;&gt;""),(G14-F14)*24,"")</f>
        <v/>
      </c>
      <c r="I14" s="11" t="inlineStr">
        <is>
          <t>Hoàn thành</t>
        </is>
      </c>
    </row>
    <row r="15">
      <c r="A15" s="10" t="n">
        <v>11</v>
      </c>
      <c r="B15" s="11" t="inlineStr">
        <is>
          <t>2026-09-07</t>
        </is>
      </c>
      <c r="C15" s="11" t="inlineStr">
        <is>
          <t>Task 11</t>
        </is>
      </c>
      <c r="D15" s="12" t="inlineStr">
        <is>
          <t>Tùy biến Breadcrumb điều hướng phân cấp (Trang chủ &gt; Tất cả sản phẩm / Danh mục)</t>
        </is>
      </c>
      <c r="E15" s="11" t="inlineStr">
        <is>
          <t>Developer</t>
        </is>
      </c>
      <c r="F15" s="11" t="inlineStr">
        <is>
          <t>16:00</t>
        </is>
      </c>
      <c r="G15" s="11" t="inlineStr">
        <is>
          <t>16:25</t>
        </is>
      </c>
      <c r="H15" s="13">
        <f>IF(AND(F15&lt;&gt;"",G15&lt;&gt;""),(G15-F15)*24,"")</f>
        <v/>
      </c>
      <c r="I15" s="11" t="inlineStr">
        <is>
          <t>Hoàn thành</t>
        </is>
      </c>
    </row>
    <row r="16">
      <c r="A16" s="10" t="n">
        <v>12</v>
      </c>
      <c r="B16" s="11" t="inlineStr">
        <is>
          <t>2026-09-07</t>
        </is>
      </c>
      <c r="C16" s="11" t="inlineStr">
        <is>
          <t>Task 12</t>
        </is>
      </c>
      <c r="D16" s="12" t="inlineStr">
        <is>
          <t>Xây dựng Cặp Banner tiện ích cửa hàng (Dual Store Banners 50% - 50% gradient cam đỏ)</t>
        </is>
      </c>
      <c r="E16" s="11" t="inlineStr">
        <is>
          <t>Developer</t>
        </is>
      </c>
      <c r="F16" s="11" t="n"/>
      <c r="G16" s="11" t="n"/>
      <c r="H16" s="13">
        <f>IF(AND(F16&lt;&gt;"",G16&lt;&gt;""),(G16-F16)*24,"")</f>
        <v/>
      </c>
      <c r="I16" s="52" t="inlineStr">
        <is>
          <t>Hoàn thành</t>
        </is>
      </c>
    </row>
    <row r="17">
      <c r="A17" s="10" t="n">
        <v>13</v>
      </c>
      <c r="B17" s="11" t="inlineStr">
        <is>
          <t>2026-09-07</t>
        </is>
      </c>
      <c r="C17" s="11" t="inlineStr">
        <is>
          <t>Task 13</t>
        </is>
      </c>
      <c r="D17" s="12" t="inlineStr">
        <is>
          <t>Xây dựng Tiêu đề H1 &amp; Thanh công cụ bộ lọc ngang (Horizontal Filter Toolbar Dropdowns)</t>
        </is>
      </c>
      <c r="E17" s="11" t="inlineStr">
        <is>
          <t>Developer</t>
        </is>
      </c>
      <c r="F17" s="11" t="inlineStr">
        <is>
          <t>16:25</t>
        </is>
      </c>
      <c r="G17" s="11" t="inlineStr">
        <is>
          <t>17:05</t>
        </is>
      </c>
      <c r="H17" s="13">
        <f>IF(AND(F17&lt;&gt;"",G17&lt;&gt;""),(G17-F17)*24,"")</f>
        <v/>
      </c>
      <c r="I17" s="50" t="inlineStr">
        <is>
          <t>Hoàn thành</t>
        </is>
      </c>
    </row>
    <row r="18">
      <c r="A18" s="10" t="n">
        <v>14</v>
      </c>
      <c r="B18" s="11" t="inlineStr">
        <is>
          <t>2026-09-07</t>
        </is>
      </c>
      <c r="C18" s="11" t="inlineStr">
        <is>
          <t>Task 14</t>
        </is>
      </c>
      <c r="D18" s="12" t="inlineStr">
        <is>
          <t>Xây dựng Thanh sắp xếp radio button (Xếp theo: Tên A-Z, Tên Z-A, Hàng mới, Giá thấp-cao)</t>
        </is>
      </c>
      <c r="E18" s="11" t="inlineStr">
        <is>
          <t>Developer</t>
        </is>
      </c>
      <c r="F18" s="11" t="inlineStr">
        <is>
          <t>17:05</t>
        </is>
      </c>
      <c r="G18" s="11" t="inlineStr">
        <is>
          <t>17:15</t>
        </is>
      </c>
      <c r="H18" s="13">
        <f>IF(AND(F18&lt;&gt;"",G18&lt;&gt;""),(G18-F18)*24,"")</f>
        <v/>
      </c>
      <c r="I18" s="11" t="inlineStr">
        <is>
          <t>Hoàn thành</t>
        </is>
      </c>
    </row>
    <row r="19">
      <c r="A19" s="10" t="n">
        <v>15</v>
      </c>
      <c r="B19" s="11" t="inlineStr">
        <is>
          <t>2026-09-07</t>
        </is>
      </c>
      <c r="C19" s="11" t="inlineStr">
        <is>
          <t>Task 15</t>
        </is>
      </c>
      <c r="D19" s="12" t="inlineStr">
        <is>
          <t>Tối ưu Card sản phẩm &amp; Lưới 5 cột x 20 sản phẩm (Product Grid Archive Loop)</t>
        </is>
      </c>
      <c r="E19" s="11" t="inlineStr">
        <is>
          <t>Developer</t>
        </is>
      </c>
      <c r="F19" s="11" t="n"/>
      <c r="G19" s="11" t="n"/>
      <c r="H19" s="13">
        <f>IF(AND(F19&lt;&gt;"",G19&lt;&gt;""),(G19-F19)*24,"")</f>
        <v/>
      </c>
      <c r="I19" s="52" t="inlineStr">
        <is>
          <t>Hoàn thành</t>
        </is>
      </c>
    </row>
    <row r="20">
      <c r="A20" s="10" t="n">
        <v>16</v>
      </c>
      <c r="B20" s="11" t="inlineStr">
        <is>
          <t>2026-09-07</t>
        </is>
      </c>
      <c r="C20" s="11" t="inlineStr">
        <is>
          <t>Task 16</t>
        </is>
      </c>
      <c r="D20" s="12" t="inlineStr">
        <is>
          <t>Tùy biến Thanh phân trang màu đỏ bo góc (WooCommerce Pagination Bar)</t>
        </is>
      </c>
      <c r="E20" s="11" t="inlineStr">
        <is>
          <t>Developer</t>
        </is>
      </c>
      <c r="F20" s="11" t="n"/>
      <c r="G20" s="11" t="n"/>
      <c r="H20" s="13">
        <f>IF(AND(F20&lt;&gt;"",G20&lt;&gt;""),(G20-F20)*24,"")</f>
        <v/>
      </c>
      <c r="I20" s="52" t="inlineStr">
        <is>
          <t>Hoàn thành</t>
        </is>
      </c>
    </row>
    <row r="21">
      <c r="A21" s="10" t="n">
        <v>17</v>
      </c>
      <c r="B21" s="11" t="inlineStr">
        <is>
          <t>2026-09-07</t>
        </is>
      </c>
      <c r="C21" s="11" t="inlineStr">
        <is>
          <t>Task 17</t>
        </is>
      </c>
      <c r="D21" s="12" t="inlineStr">
        <is>
          <t>Xây dựng Khối mô tả chính sách cửa hàng chuẩn SEO chân trang (SEO Content Box)</t>
        </is>
      </c>
      <c r="E21" s="11" t="inlineStr">
        <is>
          <t>Developer</t>
        </is>
      </c>
      <c r="F21" s="11" t="n"/>
      <c r="G21" s="11" t="n"/>
      <c r="H21" s="13">
        <f>IF(AND(F21&lt;&gt;"",G21&lt;&gt;""),(G21-F21)*24,"")</f>
        <v/>
      </c>
      <c r="I21" s="52" t="inlineStr">
        <is>
          <t>Hoàn thành</t>
        </is>
      </c>
    </row>
    <row r="22">
      <c r="A22" s="10" t="n">
        <v>18</v>
      </c>
      <c r="B22" s="11" t="inlineStr">
        <is>
          <t>2026-09-07</t>
        </is>
      </c>
      <c r="C22" s="11" t="inlineStr">
        <is>
          <t>Task 18</t>
        </is>
      </c>
      <c r="D22" s="12" t="inlineStr">
        <is>
          <t>Tích hợp Dải 4 Huy hiệu cam kết dịch vụ chân trang (Trust Badges)</t>
        </is>
      </c>
      <c r="E22" s="11" t="inlineStr">
        <is>
          <t>Developer</t>
        </is>
      </c>
      <c r="F22" s="11" t="n"/>
      <c r="G22" s="11" t="n"/>
      <c r="H22" s="13">
        <f>IF(AND(F22&lt;&gt;"",G22&lt;&gt;""),(G22-F22)*24,"")</f>
        <v/>
      </c>
      <c r="I22" s="52" t="inlineStr">
        <is>
          <t>Hoàn thành</t>
        </is>
      </c>
    </row>
    <row r="23">
      <c r="A23" s="10" t="n">
        <v>19</v>
      </c>
      <c r="B23" s="11" t="inlineStr">
        <is>
          <t>2026-09-07</t>
        </is>
      </c>
      <c r="C23" s="11" t="inlineStr">
        <is>
          <t>Task 19</t>
        </is>
      </c>
      <c r="D23" s="12" t="inlineStr">
        <is>
          <t>Kiểm thử hiển thị Responsive Mobile/Tablet &amp; Tối ưu hiệu năng trang Sản Phẩm</t>
        </is>
      </c>
      <c r="E23" s="11" t="inlineStr">
        <is>
          <t>Developer</t>
        </is>
      </c>
      <c r="F23" s="11" t="n"/>
      <c r="G23" s="11" t="n"/>
      <c r="H23" s="13">
        <f>IF(AND(F23&lt;&gt;"",G23&lt;&gt;""),(G23-F23)*24,"")</f>
        <v/>
      </c>
      <c r="I23" s="52" t="inlineStr">
        <is>
          <t>Hoàn thành</t>
        </is>
      </c>
    </row>
    <row r="24">
      <c r="A24" s="10" t="n">
        <v>20</v>
      </c>
      <c r="B24" s="11" t="inlineStr">
        <is>
          <t>2026-09-08</t>
        </is>
      </c>
      <c r="C24" s="11" t="inlineStr">
        <is>
          <t>Task SP-01 (Tiếp tục)</t>
        </is>
      </c>
      <c r="D24" s="51" t="inlineStr">
        <is>
          <t>Tiếp tục Trang Sản Phẩm - Task 1. Bộ lọc: Hợp nhất module gobike-product-filter.php, lọc khoảng giá, đồng bộ sắp xếp &amp; đẩy Git</t>
        </is>
      </c>
      <c r="E24" s="11" t="inlineStr">
        <is>
          <t>Developer</t>
        </is>
      </c>
      <c r="F24" s="11" t="inlineStr">
        <is>
          <t>08:00</t>
        </is>
      </c>
      <c r="G24" s="11" t="inlineStr">
        <is>
          <t>09:30</t>
        </is>
      </c>
      <c r="H24" s="13">
        <f>IF(AND(F24&lt;&gt;"",G24&lt;&gt;""),(G24-F24)*24,"")</f>
        <v/>
      </c>
      <c r="I24" s="52" t="inlineStr">
        <is>
          <t>Hoàn thành</t>
        </is>
      </c>
    </row>
    <row r="25">
      <c r="A25" s="10" t="n">
        <v>21</v>
      </c>
      <c r="B25" s="11" t="inlineStr">
        <is>
          <t>2026-09-08</t>
        </is>
      </c>
      <c r="C25" s="11" t="inlineStr">
        <is>
          <t>Task SP-02 (Hoàn thiện)</t>
        </is>
      </c>
      <c r="D25" s="51" t="inlineStr">
        <is>
          <t>Hoàn thiện Các trường thêm (SCF Theme Settings: 2 Banner zoom từ tâm, Khối SEO chân trang nét đứt) &amp; Nghiệm thu toàn bộ Trang Sản Phẩm</t>
        </is>
      </c>
      <c r="E25" s="11" t="inlineStr">
        <is>
          <t>Developer</t>
        </is>
      </c>
      <c r="F25" s="11" t="inlineStr">
        <is>
          <t>09:30</t>
        </is>
      </c>
      <c r="G25" s="11" t="inlineStr">
        <is>
          <t>11:15</t>
        </is>
      </c>
      <c r="H25" s="13">
        <f>IF(AND(F25&lt;&gt;"",G25&lt;&gt;""),(G25-F25)*24,"")</f>
        <v/>
      </c>
      <c r="I25" s="52" t="inlineStr">
        <is>
          <t>Hoàn thành</t>
        </is>
      </c>
    </row>
    <row r="26">
      <c r="A26" s="69" t="n">
        <v>22</v>
      </c>
      <c r="B26" s="70" t="inlineStr">
        <is>
          <t>2026-09-08</t>
        </is>
      </c>
      <c r="C26" s="70" t="inlineStr">
        <is>
          <t>Task FT-01</t>
        </is>
      </c>
      <c r="D26" s="71" t="inlineStr">
        <is>
          <t>Nâng cấp hoàn thiện Footer chuẩn Mockup (Trust Badges đỏ #d0021b, box 4 Showroom, tiện ích, hotline, MXH, logo BCT &amp; form email)</t>
        </is>
      </c>
      <c r="E26" s="70" t="inlineStr">
        <is>
          <t>Developer</t>
        </is>
      </c>
      <c r="F26" s="70" t="inlineStr">
        <is>
          <t>14:15</t>
        </is>
      </c>
      <c r="G26" s="70" t="inlineStr">
        <is>
          <t>17:15</t>
        </is>
      </c>
      <c r="H26" s="72">
        <f>IF(AND(F26&lt;&gt;"",G26&lt;&gt;""),(G26-F26)*24,"")</f>
        <v/>
      </c>
      <c r="I26" s="54" t="inlineStr">
        <is>
          <t>Hoàn thành</t>
        </is>
      </c>
    </row>
    <row r="27">
      <c r="A27" s="69" t="n">
        <v>23</v>
      </c>
      <c r="B27" s="70" t="inlineStr">
        <is>
          <t>2026-09-08</t>
        </is>
      </c>
      <c r="C27" s="70" t="inlineStr">
        <is>
          <t>Task HD-01 (Header)</t>
        </is>
      </c>
      <c r="D27" s="71" t="inlineStr">
        <is>
          <t>Tái cấu trúc Header theo chuẩn Flatsome mẫu: Top Bar thông tin, thay 4 nút xanh bằng cụm Icon + Text 2 dòng, Menu Danh mục (Vertical Menu) &amp; hoàn thiện toàn bộ Header</t>
        </is>
      </c>
      <c r="E27" s="70" t="inlineStr">
        <is>
          <t>Developer</t>
        </is>
      </c>
      <c r="F27" s="70" t="inlineStr">
        <is>
          <t>12:20</t>
        </is>
      </c>
      <c r="G27" s="70" t="inlineStr">
        <is>
          <t>14:05</t>
        </is>
      </c>
      <c r="H27" s="72">
        <f>IF(AND(F27&lt;&gt;"",G27&lt;&gt;""),(G27-F27)*24,"")</f>
        <v/>
      </c>
      <c r="I27" s="54" t="inlineStr">
        <is>
          <t>Hoàn thành</t>
        </is>
      </c>
    </row>
    <row r="28">
      <c r="A28" s="67" t="inlineStr">
        <is>
          <t>23.1</t>
        </is>
      </c>
      <c r="B28" s="58" t="inlineStr">
        <is>
          <t>2026-09-08</t>
        </is>
      </c>
      <c r="C28" s="67" t="inlineStr">
        <is>
          <t>Task 2.1</t>
        </is>
      </c>
      <c r="D28" s="59" t="inlineStr">
        <is>
          <t>Tùy biến Search Form Header: Xử lý gỡ bỏ CSS fix cứng kích thước, tinh chỉnh chiều rộng và giao diện khung tìm kiếm Flatsome Customizer</t>
        </is>
      </c>
      <c r="E28" s="58" t="inlineStr">
        <is>
          <t>Developer</t>
        </is>
      </c>
      <c r="F28" s="58" t="inlineStr">
        <is>
          <t>11:45</t>
        </is>
      </c>
      <c r="G28" s="58" t="inlineStr">
        <is>
          <t>12:20</t>
        </is>
      </c>
      <c r="H28" s="87">
        <f>IF(AND(F28&lt;&gt;"",G28&lt;&gt;""),(G28-F28)*24,"")</f>
        <v/>
      </c>
      <c r="I28" s="94" t="inlineStr">
        <is>
          <t>Hoàn thành</t>
        </is>
      </c>
    </row>
    <row r="29">
      <c r="A29" s="67" t="n">
        <v>24</v>
      </c>
      <c r="B29" s="58" t="inlineStr">
        <is>
          <t>2026-09-08</t>
        </is>
      </c>
      <c r="C29" s="67" t="inlineStr">
        <is>
          <t>Task RP-01</t>
        </is>
      </c>
      <c r="D29" s="59" t="inlineStr">
        <is>
          <t>Tối ưu hóa Responsive toàn diện Trang Chủ trên Mobile &amp; Tablet (Header mobile 2 tầng, Hero Slider, Flash Sale swipe tabs, 4 khối danh mục 2 cột, Tin tức &amp; Footer)</t>
        </is>
      </c>
      <c r="E29" s="58" t="inlineStr">
        <is>
          <t>Developer</t>
        </is>
      </c>
      <c r="F29" s="58" t="n"/>
      <c r="G29" s="58" t="n"/>
      <c r="H29" s="87">
        <f>IF(AND(F29&lt;&gt;"",G29&lt;&gt;""),(G29-F29)*24,"")</f>
        <v/>
      </c>
      <c r="I29" s="98" t="inlineStr">
        <is>
          <t>Đang thực hiện</t>
        </is>
      </c>
    </row>
    <row r="30">
      <c r="A30" s="67" t="n">
        <v>25</v>
      </c>
      <c r="B30" s="58" t="inlineStr">
        <is>
          <t>2026-09-09</t>
        </is>
      </c>
      <c r="C30" s="67" t="inlineStr">
        <is>
          <t>Task MB-01</t>
        </is>
      </c>
      <c r="D30" s="59" t="inlineStr">
        <is>
          <t>Xây dựng Thanh Menu Dính Đáy Mobile (Mobile Bottom Navigation Bar) kèm Nút Hotline Tròn Nổi Bật (Raised Center FAB): 5 nút tiện ích (Trang chủ, Sản phẩm, Gọi điện, Messenger, Zalo)</t>
        </is>
      </c>
      <c r="E30" s="58" t="inlineStr">
        <is>
          <t>Developer</t>
        </is>
      </c>
      <c r="F30" s="58" t="inlineStr">
        <is>
          <t>09:40</t>
        </is>
      </c>
      <c r="G30" s="58" t="inlineStr">
        <is>
          <t>14:15</t>
        </is>
      </c>
      <c r="H30" s="58">
        <f>IF(AND(F30&lt;&gt;"",G30&lt;&gt;""),(G30-F30)*24,"")</f>
        <v/>
      </c>
      <c r="I30" s="106" t="inlineStr">
        <is>
          <t>Đã hoàn thành</t>
        </is>
      </c>
    </row>
    <row r="31">
      <c r="A31" s="67" t="n">
        <v>26</v>
      </c>
      <c r="B31" s="58" t="inlineStr">
        <is>
          <t>2026-09-09</t>
        </is>
      </c>
      <c r="C31" s="67" t="inlineStr">
        <is>
          <t>Task RP-01.2</t>
        </is>
      </c>
      <c r="D31" s="59" t="inlineStr">
        <is>
          <t>Tối ưu Responsive Banner Slider Trang Chủ (Mobile &amp; Tablet): Ẩn 5 ô text thumbs, hiển thị thuần danh sách ảnh kèm Pagination dots viên thuốc đỏ/tròn xám chuẩn Sencom (page-blank.php &amp; style.css)</t>
        </is>
      </c>
      <c r="E31" s="58" t="inlineStr">
        <is>
          <t>Developer</t>
        </is>
      </c>
      <c r="F31" s="58" t="inlineStr">
        <is>
          <t>14:15</t>
        </is>
      </c>
      <c r="G31" s="58" t="inlineStr">
        <is>
          <t>14:35</t>
        </is>
      </c>
      <c r="H31" s="58">
        <f>IF(AND(F31&lt;&gt;"",G31&lt;&gt;""),(G31-F31)*24,"")</f>
        <v/>
      </c>
      <c r="I31" s="106" t="inlineStr">
        <is>
          <t>Đã hoàn thành</t>
        </is>
      </c>
    </row>
    <row r="32">
      <c r="A32" s="67" t="inlineStr">
        <is>
          <t>27</t>
        </is>
      </c>
      <c r="B32" s="58" t="inlineStr">
        <is>
          <t>2026-09-09</t>
        </is>
      </c>
      <c r="C32" s="67" t="inlineStr">
        <is>
          <t>Task RP-01.3</t>
        </is>
      </c>
      <c r="D32" s="59" t="inlineStr">
        <is>
          <t>Tối ưu Banner Slider &amp; Khối Tin Tức Trang Chủ trên Desktop (Laptop &amp; PC): Cố định chiều cao ảnh slide 320px (object-fit: cover), 5 ô text 60px triệt tiêu khoảng trắng rỗng, cân bằng 2 khối Slider &amp; Tin tức 380px cả mép trên và đáy dưới (page-blank.php &amp; style.css)</t>
        </is>
      </c>
      <c r="E32" s="58" t="inlineStr">
        <is>
          <t>Developer</t>
        </is>
      </c>
      <c r="F32" s="58" t="inlineStr">
        <is>
          <t>14:35</t>
        </is>
      </c>
      <c r="G32" s="58" t="inlineStr">
        <is>
          <t>16:55</t>
        </is>
      </c>
      <c r="H32" s="58">
        <f>IF(AND(F32&lt;&gt;"",G32&lt;&gt;""),(G32-F32)*24,"")</f>
        <v/>
      </c>
      <c r="I32" s="106" t="inlineStr">
        <is>
          <t>Đã hoàn thành</t>
        </is>
      </c>
    </row>
    <row r="33">
      <c r="A33" s="14" t="inlineStr">
        <is>
          <t>TỔNG CỘNG THỜI GIAN ĐÃ THỰC HIỆN (GIỜ):</t>
        </is>
      </c>
      <c r="B33" s="18" t="n"/>
      <c r="C33" s="18" t="n"/>
      <c r="D33" s="18" t="n"/>
      <c r="E33" s="18" t="n"/>
      <c r="F33" s="18" t="n"/>
      <c r="G33" s="19" t="n"/>
      <c r="H33" s="103">
        <f>SUM(H5:H32)</f>
        <v/>
      </c>
      <c r="I33" s="15" t="n"/>
    </row>
    <row r="34"/>
    <row r="35">
      <c r="A35" s="88" t="inlineStr">
        <is>
          <t>IV. BẢNG TỔNG KẾT THỜI GIAN THEO NGÀY (DAILY TIME TRACKING SUMMARY)</t>
        </is>
      </c>
    </row>
    <row r="36">
      <c r="A36" s="56" t="inlineStr">
        <is>
          <t>STT</t>
        </is>
      </c>
      <c r="B36" s="56" t="inlineStr">
        <is>
          <t>Ngày Làm Việc</t>
        </is>
      </c>
      <c r="C36" s="56" t="inlineStr">
        <is>
          <t>Số Lượng Task</t>
        </is>
      </c>
      <c r="D36" s="57" t="inlineStr">
        <is>
          <t>Nội Dung Công Việc Trọng Tâm Trong Ngày</t>
        </is>
      </c>
      <c r="E36" s="56" t="inlineStr">
        <is>
          <t>Người Phụ Trách</t>
        </is>
      </c>
      <c r="F36" s="56" t="inlineStr">
        <is>
          <t>Khung Giờ Bắt Đầu</t>
        </is>
      </c>
      <c r="G36" s="56" t="inlineStr">
        <is>
          <t>Khung Giờ Kết Thúc</t>
        </is>
      </c>
      <c r="H36" s="56" t="inlineStr">
        <is>
          <t>Tổng Giờ (h)</t>
        </is>
      </c>
      <c r="I36" s="56" t="inlineStr">
        <is>
          <t>Trạng Thái</t>
        </is>
      </c>
    </row>
    <row r="37">
      <c r="A37" s="58" t="n">
        <v>1</v>
      </c>
      <c r="B37" s="67" t="inlineStr">
        <is>
          <t>2026-09-07</t>
        </is>
      </c>
      <c r="C37" s="58" t="inlineStr">
        <is>
          <t>13 Task</t>
        </is>
      </c>
      <c r="D37" s="59" t="inlineStr">
        <is>
          <t>Khởi tạo Taxonomy/Attributes + Hoàn thành 10 Task Trang Chủ + Khởi động Trang Sản Phẩm (Breadcrumb, Bộ lọc, Sắp xếp)</t>
        </is>
      </c>
      <c r="E37" s="58" t="inlineStr">
        <is>
          <t>Developer</t>
        </is>
      </c>
      <c r="F37" s="58" t="inlineStr">
        <is>
          <t>08:00</t>
        </is>
      </c>
      <c r="G37" s="58" t="inlineStr">
        <is>
          <t>21:45</t>
        </is>
      </c>
      <c r="H37" s="67" t="n">
        <v>13</v>
      </c>
      <c r="I37" s="60" t="inlineStr">
        <is>
          <t>Hoàn thành</t>
        </is>
      </c>
    </row>
    <row r="38">
      <c r="A38" s="58" t="n">
        <v>2</v>
      </c>
      <c r="B38" s="67" t="inlineStr">
        <is>
          <t>2026-09-08</t>
        </is>
      </c>
      <c r="C38" s="58" t="inlineStr">
        <is>
          <t>4 Task lớn</t>
        </is>
      </c>
      <c r="D38" s="59" t="inlineStr">
        <is>
          <t>Hoàn tất 100% Trang Sản Phẩm (Task SP-01, SP-02) + Hoàn tất 100% Tái cấu trúc Header Flatsome (Task HD-01) + Hoàn tất 100% Footer 4 cột chuẩn mockup thương hiệu GoBike (Task FT-01)</t>
        </is>
      </c>
      <c r="E38" s="58" t="inlineStr">
        <is>
          <t>Developer</t>
        </is>
      </c>
      <c r="F38" s="58" t="inlineStr">
        <is>
          <t>08:00</t>
        </is>
      </c>
      <c r="G38" s="58" t="inlineStr">
        <is>
          <t>17:15</t>
        </is>
      </c>
      <c r="H38" s="67" t="n">
        <v>8.58</v>
      </c>
      <c r="I38" s="60" t="inlineStr">
        <is>
          <t>Hoàn thành</t>
        </is>
      </c>
    </row>
    <row r="39">
      <c r="A39" s="67" t="n">
        <v>3</v>
      </c>
      <c r="B39" s="58" t="inlineStr">
        <is>
          <t>2026-09-09</t>
        </is>
      </c>
      <c r="C39" s="58" t="inlineStr">
        <is>
          <t>3 Task lớn</t>
        </is>
      </c>
      <c r="D39" s="59" t="inlineStr">
        <is>
          <t>Menu Dính Đáy Mobile (Task MB-01) + Responsive Banner Slider Mobile Sencom (Task RP-01.2) + Tối ưu Banner Slider &amp; Khối Tin Tức Desktop bằng nhau 380px (Task RP-01.3)</t>
        </is>
      </c>
      <c r="E39" s="58" t="inlineStr">
        <is>
          <t>Developer</t>
        </is>
      </c>
      <c r="F39" s="58" t="inlineStr">
        <is>
          <t>09:40</t>
        </is>
      </c>
      <c r="G39" s="58" t="inlineStr">
        <is>
          <t>16:55</t>
        </is>
      </c>
      <c r="H39" s="67">
        <f>SUM(H30:H32)</f>
        <v/>
      </c>
      <c r="I39" s="102" t="inlineStr">
        <is>
          <t>Hoàn thành</t>
        </is>
      </c>
    </row>
    <row r="40">
      <c r="A40" s="61" t="inlineStr">
        <is>
          <t>TỔNG CỘNG THỜI GIAN LÀM VIỆC CẢ 3 NGÀY (GIỜ):</t>
        </is>
      </c>
      <c r="B40" s="75" t="n"/>
      <c r="C40" s="75" t="n"/>
      <c r="D40" s="75" t="n"/>
      <c r="E40" s="75" t="n"/>
      <c r="F40" s="75" t="n"/>
      <c r="G40" s="76" t="n"/>
      <c r="H40" s="63">
        <f>SUM(H37:H39)</f>
        <v/>
      </c>
      <c r="I40" s="64" t="inlineStr">
        <is>
          <t>28.83 h</t>
        </is>
      </c>
    </row>
    <row r="41">
      <c r="A41" s="89" t="n"/>
      <c r="B41" s="89" t="n"/>
      <c r="C41" s="89" t="n"/>
      <c r="D41" s="89" t="n"/>
      <c r="E41" s="89" t="n"/>
      <c r="F41" s="89" t="n"/>
      <c r="G41" s="89" t="n"/>
      <c r="H41" s="89" t="n"/>
      <c r="I41" s="89" t="n"/>
    </row>
    <row r="42">
      <c r="A42" s="92" t="inlineStr">
        <is>
          <t>V. BẢNG TỔNG KẾT THỜI GIAN HOÀN THIỆN THEO TỪNG TASK NHỎ &amp; GIAI ĐOẠN (SUBTASK BREAKDOWN)</t>
        </is>
      </c>
    </row>
    <row r="43">
      <c r="A43" s="56" t="inlineStr">
        <is>
          <t>STT</t>
        </is>
      </c>
      <c r="B43" s="56" t="inlineStr">
        <is>
          <t>Mã Task</t>
        </is>
      </c>
      <c r="C43" s="56" t="inlineStr">
        <is>
          <t>Giai Đoạn / Nhóm</t>
        </is>
      </c>
      <c r="D43" s="57" t="inlineStr">
        <is>
          <t>Tên Task Nhỏ / Khối Giao Diện Cụ Thể</t>
        </is>
      </c>
      <c r="E43" s="56" t="inlineStr">
        <is>
          <t>Công Cụ / File</t>
        </is>
      </c>
      <c r="F43" s="56" t="inlineStr">
        <is>
          <t>Bắt Đầu</t>
        </is>
      </c>
      <c r="G43" s="56" t="inlineStr">
        <is>
          <t>Kết Thúc</t>
        </is>
      </c>
      <c r="H43" s="56" t="inlineStr">
        <is>
          <t>Số Giờ</t>
        </is>
      </c>
      <c r="I43" s="56" t="inlineStr">
        <is>
          <t>Thời Lượng (Phút)</t>
        </is>
      </c>
    </row>
    <row r="44">
      <c r="A44" s="58" t="n">
        <v>1</v>
      </c>
      <c r="B44" s="67" t="inlineStr">
        <is>
          <t>Task 1</t>
        </is>
      </c>
      <c r="C44" s="58" t="inlineStr">
        <is>
          <t>I. Nền Tảng</t>
        </is>
      </c>
      <c r="D44" s="59" t="inlineStr">
        <is>
          <t>Khởi tạo Taxonomy danh mục xe &amp; Thuộc tính (Pin, Động cơ, Quãng đường, Tốc độ)</t>
        </is>
      </c>
      <c r="E44" s="58" t="inlineStr">
        <is>
          <t>WP Admin &amp; Woo</t>
        </is>
      </c>
      <c r="F44" s="58" t="inlineStr">
        <is>
          <t>08:00</t>
        </is>
      </c>
      <c r="G44" s="58" t="inlineStr">
        <is>
          <t>09:00</t>
        </is>
      </c>
      <c r="H44" s="67" t="n">
        <v>1</v>
      </c>
      <c r="I44" s="58" t="inlineStr">
        <is>
          <t>60 phút</t>
        </is>
      </c>
    </row>
    <row r="45">
      <c r="A45" s="58" t="n">
        <v>2</v>
      </c>
      <c r="B45" s="67" t="inlineStr">
        <is>
          <t>Task 2</t>
        </is>
      </c>
      <c r="C45" s="58" t="inlineStr">
        <is>
          <t>II. Trang Chủ</t>
        </is>
      </c>
      <c r="D45" s="59" t="inlineStr">
        <is>
          <t>Header đa tầng: Topbar đỏ cam kết + Main Header đen + Live Search + Cụm Icons</t>
        </is>
      </c>
      <c r="E45" s="58" t="inlineStr">
        <is>
          <t>Header Builder</t>
        </is>
      </c>
      <c r="F45" s="58" t="inlineStr">
        <is>
          <t>09:00</t>
        </is>
      </c>
      <c r="G45" s="58" t="inlineStr">
        <is>
          <t>10:30</t>
        </is>
      </c>
      <c r="H45" s="67" t="n">
        <v>1.5</v>
      </c>
      <c r="I45" s="58" t="inlineStr">
        <is>
          <t>90 phút</t>
        </is>
      </c>
    </row>
    <row r="46">
      <c r="A46" s="58" t="n">
        <v>3</v>
      </c>
      <c r="B46" s="67" t="inlineStr">
        <is>
          <t>Task 3</t>
        </is>
      </c>
      <c r="C46" s="58" t="inlineStr">
        <is>
          <t>II. Trang Chủ</t>
        </is>
      </c>
      <c r="D46" s="59" t="inlineStr">
        <is>
          <t>Navigation Menu đỏ chính (#d0021b) + Tích hợp Mega Menu danh mục xe</t>
        </is>
      </c>
      <c r="E46" s="58" t="inlineStr">
        <is>
          <t>WP Menu &amp; CSS</t>
        </is>
      </c>
      <c r="F46" s="58" t="inlineStr">
        <is>
          <t>10:30</t>
        </is>
      </c>
      <c r="G46" s="58" t="inlineStr">
        <is>
          <t>11:30</t>
        </is>
      </c>
      <c r="H46" s="67" t="n">
        <v>1</v>
      </c>
      <c r="I46" s="58" t="inlineStr">
        <is>
          <t>60 phút</t>
        </is>
      </c>
    </row>
    <row r="47">
      <c r="A47" s="58" t="n">
        <v>4</v>
      </c>
      <c r="B47" s="67" t="inlineStr">
        <is>
          <t>Task 4</t>
        </is>
      </c>
      <c r="C47" s="58" t="inlineStr">
        <is>
          <t>II. Trang Chủ</t>
        </is>
      </c>
      <c r="D47" s="59" t="inlineStr">
        <is>
          <t>Hero Section: Slider banner chính + Tin tức nổi bật + Banner giao hỏa tốc 1H</t>
        </is>
      </c>
      <c r="E47" s="58" t="inlineStr">
        <is>
          <t>UX Builder</t>
        </is>
      </c>
      <c r="F47" s="58" t="inlineStr">
        <is>
          <t>11:30</t>
        </is>
      </c>
      <c r="G47" s="58" t="inlineStr">
        <is>
          <t>12:30</t>
        </is>
      </c>
      <c r="H47" s="67" t="n">
        <v>1</v>
      </c>
      <c r="I47" s="58" t="inlineStr">
        <is>
          <t>60 phút</t>
        </is>
      </c>
    </row>
    <row r="48">
      <c r="A48" s="58" t="n">
        <v>5</v>
      </c>
      <c r="B48" s="67" t="inlineStr">
        <is>
          <t>Task 5</t>
        </is>
      </c>
      <c r="C48" s="58" t="inlineStr">
        <is>
          <t>II. Trang Chủ</t>
        </is>
      </c>
      <c r="D48" s="59" t="inlineStr">
        <is>
          <t xml:space="preserve">Section Giờ Vàng - Giá Cực Sốc (Tabs 17h, 19h, 20h, 21h + Lưới 5 sản phẩm sale) </t>
        </is>
      </c>
      <c r="E48" s="58" t="inlineStr">
        <is>
          <t>UX &amp; Shortcode</t>
        </is>
      </c>
      <c r="F48" s="58" t="inlineStr">
        <is>
          <t>13:30</t>
        </is>
      </c>
      <c r="G48" s="58" t="inlineStr">
        <is>
          <t>15:30</t>
        </is>
      </c>
      <c r="H48" s="67" t="n">
        <v>2</v>
      </c>
      <c r="I48" s="58" t="inlineStr">
        <is>
          <t>120 phút</t>
        </is>
      </c>
    </row>
    <row r="49">
      <c r="A49" s="58" t="n">
        <v>6</v>
      </c>
      <c r="B49" s="67" t="inlineStr">
        <is>
          <t>Task 6</t>
        </is>
      </c>
      <c r="C49" s="58" t="inlineStr">
        <is>
          <t>II. Trang Chủ</t>
        </is>
      </c>
      <c r="D49" s="59" t="inlineStr">
        <is>
          <t>4 Khối danh mục xe đạp (Shortcode [gobike_category_block] lưới 5 cột: 1 Big + 8 Small)</t>
        </is>
      </c>
      <c r="E49" s="58" t="inlineStr">
        <is>
          <t>functions.php &amp; CSS</t>
        </is>
      </c>
      <c r="F49" s="58" t="inlineStr">
        <is>
          <t>15:30</t>
        </is>
      </c>
      <c r="G49" s="58" t="inlineStr">
        <is>
          <t>17:00</t>
        </is>
      </c>
      <c r="H49" s="67" t="n">
        <v>1.5</v>
      </c>
      <c r="I49" s="58" t="inlineStr">
        <is>
          <t>90 phút</t>
        </is>
      </c>
    </row>
    <row r="50">
      <c r="A50" s="58" t="n">
        <v>7</v>
      </c>
      <c r="B50" s="67" t="inlineStr">
        <is>
          <t>Task 7</t>
        </is>
      </c>
      <c r="C50" s="58" t="inlineStr">
        <is>
          <t>II. Trang Chủ</t>
        </is>
      </c>
      <c r="D50" s="59" t="inlineStr">
        <is>
          <t>Section Tin tức - Bài viết Blog (Lưới 4 cột thumbnail, ngày đăng, tóm tắt)</t>
        </is>
      </c>
      <c r="E50" s="58" t="inlineStr">
        <is>
          <t>UX Blog Posts</t>
        </is>
      </c>
      <c r="F50" s="58" t="inlineStr">
        <is>
          <t>17:00</t>
        </is>
      </c>
      <c r="G50" s="58" t="inlineStr">
        <is>
          <t>18:00</t>
        </is>
      </c>
      <c r="H50" s="67" t="n">
        <v>1</v>
      </c>
      <c r="I50" s="58" t="inlineStr">
        <is>
          <t>60 phút</t>
        </is>
      </c>
    </row>
    <row r="51">
      <c r="A51" s="58" t="n">
        <v>8</v>
      </c>
      <c r="B51" s="67" t="inlineStr">
        <is>
          <t>Task 8</t>
        </is>
      </c>
      <c r="C51" s="58" t="inlineStr">
        <is>
          <t>II. Trang Chủ</t>
        </is>
      </c>
      <c r="D51" s="59" t="inlineStr">
        <is>
          <t>Khối 4 Cam kết dịch vụ Trust Badges (17 Năm, 18T BH, Trọn đời, 12h Giao)</t>
        </is>
      </c>
      <c r="E51" s="58" t="inlineStr">
        <is>
          <t>UX Icon Box Row</t>
        </is>
      </c>
      <c r="F51" s="58" t="inlineStr">
        <is>
          <t>18:00</t>
        </is>
      </c>
      <c r="G51" s="58" t="inlineStr">
        <is>
          <t>18:30</t>
        </is>
      </c>
      <c r="H51" s="67" t="n">
        <v>0.5</v>
      </c>
      <c r="I51" s="58" t="inlineStr">
        <is>
          <t>30 phút</t>
        </is>
      </c>
    </row>
    <row r="52">
      <c r="A52" s="58" t="n">
        <v>9</v>
      </c>
      <c r="B52" s="67" t="inlineStr">
        <is>
          <t>Task 9</t>
        </is>
      </c>
      <c r="C52" s="58" t="inlineStr">
        <is>
          <t>II. Trang Chủ</t>
        </is>
      </c>
      <c r="D52" s="59" t="inlineStr">
        <is>
          <t>Footer 4 Cột hoàn chỉnh (Showroom, Chính sách, Bộ Công Thương, Thanh toán)</t>
        </is>
      </c>
      <c r="E52" s="58" t="inlineStr">
        <is>
          <t>Flatsome Footer</t>
        </is>
      </c>
      <c r="F52" s="58" t="inlineStr">
        <is>
          <t>19:30</t>
        </is>
      </c>
      <c r="G52" s="58" t="inlineStr">
        <is>
          <t>20:45</t>
        </is>
      </c>
      <c r="H52" s="67" t="n">
        <v>1.25</v>
      </c>
      <c r="I52" s="58" t="inlineStr">
        <is>
          <t>75 phút</t>
        </is>
      </c>
    </row>
    <row r="53">
      <c r="A53" s="58" t="n">
        <v>10</v>
      </c>
      <c r="B53" s="67" t="inlineStr">
        <is>
          <t>Task 10</t>
        </is>
      </c>
      <c r="C53" s="58" t="inlineStr">
        <is>
          <t>II. Trang Chủ</t>
        </is>
      </c>
      <c r="D53" s="59" t="inlineStr">
        <is>
          <t>Kiểm thử Responsive Mobile/Tablet &amp; Tinh chỉnh hiển thị toàn bộ Trang Chủ</t>
        </is>
      </c>
      <c r="E53" s="58" t="inlineStr">
        <is>
          <t>style.css &amp; QA</t>
        </is>
      </c>
      <c r="F53" s="58" t="inlineStr">
        <is>
          <t>20:45</t>
        </is>
      </c>
      <c r="G53" s="58" t="inlineStr">
        <is>
          <t>21:45</t>
        </is>
      </c>
      <c r="H53" s="67" t="n">
        <v>1</v>
      </c>
      <c r="I53" s="58" t="inlineStr">
        <is>
          <t>60 phút</t>
        </is>
      </c>
    </row>
    <row r="54">
      <c r="A54" s="58" t="n">
        <v>11</v>
      </c>
      <c r="B54" s="67" t="inlineStr">
        <is>
          <t>Task 11</t>
        </is>
      </c>
      <c r="C54" s="58" t="inlineStr">
        <is>
          <t>III. Trang SP</t>
        </is>
      </c>
      <c r="D54" s="59" t="inlineStr">
        <is>
          <t>Breadcrumb điều hướng phân cấp (Trang chủ &gt; SẢN PHẨM / Tên danh mục xe)</t>
        </is>
      </c>
      <c r="E54" s="58" t="inlineStr">
        <is>
          <t>category-none.php</t>
        </is>
      </c>
      <c r="F54" s="58" t="inlineStr">
        <is>
          <t>16:00</t>
        </is>
      </c>
      <c r="G54" s="58" t="inlineStr">
        <is>
          <t>16:25</t>
        </is>
      </c>
      <c r="H54" s="67" t="n">
        <v>0.42</v>
      </c>
      <c r="I54" s="58" t="inlineStr">
        <is>
          <t>25 phút</t>
        </is>
      </c>
    </row>
    <row r="55">
      <c r="A55" s="58" t="n">
        <v>12</v>
      </c>
      <c r="B55" s="67" t="inlineStr">
        <is>
          <t>Task 13+14+SP1</t>
        </is>
      </c>
      <c r="C55" s="58" t="inlineStr">
        <is>
          <t>III. Trang SP</t>
        </is>
      </c>
      <c r="D55" s="59" t="inlineStr">
        <is>
          <t>Module Bộ Lọc Ngang độc lập (gobike-product-filter.php), 5 Khoảng Giá, Sắp xếp radio</t>
        </is>
      </c>
      <c r="E55" s="58" t="inlineStr">
        <is>
          <t>gobike-product-filter.php</t>
        </is>
      </c>
      <c r="F55" s="58" t="inlineStr">
        <is>
          <t>08:00</t>
        </is>
      </c>
      <c r="G55" s="58" t="inlineStr">
        <is>
          <t>09:30</t>
        </is>
      </c>
      <c r="H55" s="67" t="n">
        <v>2.33</v>
      </c>
      <c r="I55" s="58" t="inlineStr">
        <is>
          <t>140 phút</t>
        </is>
      </c>
    </row>
    <row r="56">
      <c r="A56" s="58" t="n">
        <v>13</v>
      </c>
      <c r="B56" s="67" t="inlineStr">
        <is>
          <t>Task 12+17+SP2</t>
        </is>
      </c>
      <c r="C56" s="58" t="inlineStr">
        <is>
          <t>III. Trang SP</t>
        </is>
      </c>
      <c r="D56" s="59" t="inlineStr">
        <is>
          <t>Cặp Banner zoom từ tâm (0-&gt;1) + Khối SEO chân trang nét đứt + Tích hợp SCF Theme Settings</t>
        </is>
      </c>
      <c r="E56" s="58" t="inlineStr">
        <is>
          <t>functions.php &amp; CSS</t>
        </is>
      </c>
      <c r="F56" s="58" t="inlineStr">
        <is>
          <t>09:30</t>
        </is>
      </c>
      <c r="G56" s="58" t="inlineStr">
        <is>
          <t>11:15</t>
        </is>
      </c>
      <c r="H56" s="67" t="n">
        <v>1.75</v>
      </c>
      <c r="I56" s="58" t="inlineStr">
        <is>
          <t>105 phút</t>
        </is>
      </c>
    </row>
    <row r="57">
      <c r="A57" s="58" t="n">
        <v>14</v>
      </c>
      <c r="B57" s="67" t="inlineStr">
        <is>
          <t>Task 15-19</t>
        </is>
      </c>
      <c r="C57" s="58" t="inlineStr">
        <is>
          <t>III. Trang SP</t>
        </is>
      </c>
      <c r="D57" s="59" t="inlineStr">
        <is>
          <t>Đồng bộ Card sản phẩm xe đạp, Phân trang đỏ bo góc, 4 Badges &amp; Responsive Trang SP</t>
        </is>
      </c>
      <c r="E57" s="58" t="inlineStr">
        <is>
          <t>category-none.php &amp; CSS</t>
        </is>
      </c>
      <c r="F57" s="58" t="inlineStr">
        <is>
          <t>Tích hợp</t>
        </is>
      </c>
      <c r="G57" s="58" t="inlineStr">
        <is>
          <t>Đồng bộ</t>
        </is>
      </c>
      <c r="H57" s="67" t="n">
        <v>0</v>
      </c>
      <c r="I57" s="58" t="inlineStr">
        <is>
          <t>Đã tích hợp</t>
        </is>
      </c>
    </row>
    <row r="58">
      <c r="A58" s="58" t="n">
        <v>15</v>
      </c>
      <c r="B58" s="67" t="inlineStr">
        <is>
          <t>Task 2.1</t>
        </is>
      </c>
      <c r="C58" s="58" t="inlineStr">
        <is>
          <t>IV. Header Flatsome</t>
        </is>
      </c>
      <c r="D58" s="59" t="inlineStr">
        <is>
          <t>Tùy biến Search Form Header: Gỡ bỏ CSS fix cứng kích thước, tinh chỉnh chiều rộng &amp; tỷ lệ co giãn Customizer</t>
        </is>
      </c>
      <c r="E58" s="58" t="inlineStr">
        <is>
          <t>Flatsome Search &amp; CSS</t>
        </is>
      </c>
      <c r="F58" s="58" t="inlineStr">
        <is>
          <t>11:45</t>
        </is>
      </c>
      <c r="G58" s="58" t="inlineStr">
        <is>
          <t>12:20</t>
        </is>
      </c>
      <c r="H58" s="67" t="n">
        <v>0.58</v>
      </c>
      <c r="I58" s="58" t="inlineStr">
        <is>
          <t>35 phút</t>
        </is>
      </c>
    </row>
    <row r="59">
      <c r="A59" s="58" t="n">
        <v>16</v>
      </c>
      <c r="B59" s="67" t="inlineStr">
        <is>
          <t>Task HD-01</t>
        </is>
      </c>
      <c r="C59" s="58" t="inlineStr">
        <is>
          <t>IV. Header Flatsome</t>
        </is>
      </c>
      <c r="D59" s="59" t="inlineStr">
        <is>
          <t>Tái cấu trúc Header toàn diện: Top Bar, Cụm 4 icons tinh tế, Vertical Menu &amp; CSS</t>
        </is>
      </c>
      <c r="E59" s="58" t="inlineStr">
        <is>
          <t>Flatsome Header Builder</t>
        </is>
      </c>
      <c r="F59" s="58" t="inlineStr">
        <is>
          <t>12:20</t>
        </is>
      </c>
      <c r="G59" s="58" t="inlineStr">
        <is>
          <t>14:05</t>
        </is>
      </c>
      <c r="H59" s="67" t="n">
        <v>1.75</v>
      </c>
      <c r="I59" s="58" t="inlineStr">
        <is>
          <t>105 phút</t>
        </is>
      </c>
    </row>
    <row r="60">
      <c r="A60" s="58" t="n">
        <v>17</v>
      </c>
      <c r="B60" s="67" t="inlineStr">
        <is>
          <t>Task FT-01</t>
        </is>
      </c>
      <c r="C60" s="58" t="inlineStr">
        <is>
          <t>V. Footer GoBike</t>
        </is>
      </c>
      <c r="D60" s="59" t="inlineStr">
        <is>
          <t>Xây dựng Footer 4 cột chuẩn mockup GoBike: Box 3 Showroom, Thanh toán, Tiện ích, 5 Hotline, MXH, Fanpage &amp; Form nhận tin</t>
        </is>
      </c>
      <c r="E60" s="58" t="inlineStr">
        <is>
          <t>Flatsome Footer / UX Block</t>
        </is>
      </c>
      <c r="F60" s="58" t="inlineStr">
        <is>
          <t>14:15</t>
        </is>
      </c>
      <c r="G60" s="58" t="inlineStr">
        <is>
          <t>17:15</t>
        </is>
      </c>
      <c r="H60" s="67" t="n">
        <v>3</v>
      </c>
      <c r="I60" s="58" t="inlineStr">
        <is>
          <t>180 phút</t>
        </is>
      </c>
    </row>
    <row r="61">
      <c r="A61" s="67" t="n">
        <v>18</v>
      </c>
      <c r="B61" s="67" t="inlineStr">
        <is>
          <t>Task MB-01</t>
        </is>
      </c>
      <c r="C61" s="58" t="inlineStr">
        <is>
          <t>VI. Mobile Bottom Bar</t>
        </is>
      </c>
      <c r="D61" s="59" t="inlineStr">
        <is>
          <t>Xây dựng Mobile Bottom Navigation Bar 5 nút tiện ích kèm Nút Hotline Tròn Nổi Bật ở giữa (Raised Center FAB)</t>
        </is>
      </c>
      <c r="E61" s="104" t="inlineStr">
        <is>
          <t>flatsome-child/functions.php &amp; style.css</t>
        </is>
      </c>
      <c r="F61" s="58" t="inlineStr">
        <is>
          <t>09:40</t>
        </is>
      </c>
      <c r="G61" s="58" t="inlineStr">
        <is>
          <t>14:15</t>
        </is>
      </c>
      <c r="H61" s="67" t="n">
        <v>4.58</v>
      </c>
      <c r="I61" s="102" t="inlineStr">
        <is>
          <t>275 phút</t>
        </is>
      </c>
    </row>
    <row r="62">
      <c r="A62" s="67" t="n">
        <v>19</v>
      </c>
      <c r="B62" s="67" t="inlineStr">
        <is>
          <t>Task RP-01.2</t>
        </is>
      </c>
      <c r="C62" s="58" t="inlineStr">
        <is>
          <t>VII. Responsive Banner</t>
        </is>
      </c>
      <c r="D62" s="59" t="inlineStr">
        <is>
          <t>Tối ưu Responsive Banner Slider Trang Chủ (Mobile &amp; Tablet): Ẩn 5 thumbs, hiển thị dots đỏ/xám Sencom</t>
        </is>
      </c>
      <c r="E62" s="104" t="inlineStr">
        <is>
          <t>page-blank.php &amp; style.css</t>
        </is>
      </c>
      <c r="F62" s="58" t="inlineStr">
        <is>
          <t>14:15</t>
        </is>
      </c>
      <c r="G62" s="58" t="inlineStr">
        <is>
          <t>14:35</t>
        </is>
      </c>
      <c r="H62" s="67" t="n">
        <v>0.33</v>
      </c>
      <c r="I62" s="102" t="inlineStr">
        <is>
          <t>20 phút</t>
        </is>
      </c>
    </row>
    <row r="63">
      <c r="A63" s="67" t="n">
        <v>20</v>
      </c>
      <c r="B63" s="67" t="inlineStr">
        <is>
          <t>Task RP-01.3</t>
        </is>
      </c>
      <c r="C63" s="58" t="inlineStr">
        <is>
          <t>VII. Banner Desktop</t>
        </is>
      </c>
      <c r="D63" s="59" t="inlineStr">
        <is>
          <t>Tối ưu Banner Slider &amp; Cân Bằng Khối Tin Tức Desktop: Cố định 320px cover, xóa khoảng trắng, cân bằng 380px</t>
        </is>
      </c>
      <c r="E63" s="104" t="inlineStr">
        <is>
          <t>style.css &amp; page-blank.php</t>
        </is>
      </c>
      <c r="F63" s="58" t="inlineStr">
        <is>
          <t>14:35</t>
        </is>
      </c>
      <c r="G63" s="58" t="inlineStr">
        <is>
          <t>16:55</t>
        </is>
      </c>
      <c r="H63" s="67" t="n">
        <v>2.33</v>
      </c>
      <c r="I63" s="102" t="inlineStr">
        <is>
          <t>140 phút</t>
        </is>
      </c>
    </row>
    <row r="64">
      <c r="A64" s="61" t="inlineStr">
        <is>
          <t>TỔNG THỜI GIAN HOÀN THIỆN TẤT CẢ CÁC TASK NHỎ (GIỜ):</t>
        </is>
      </c>
      <c r="B64" s="75" t="n"/>
      <c r="C64" s="75" t="n"/>
      <c r="D64" s="75" t="n"/>
      <c r="E64" s="75" t="n"/>
      <c r="F64" s="75" t="n"/>
      <c r="G64" s="76" t="n"/>
      <c r="H64" s="63">
        <f>SUM(H44:H63)</f>
        <v/>
      </c>
      <c r="I64" s="63" t="inlineStr">
        <is>
          <t>1730 Phút (~28.83h)</t>
        </is>
      </c>
    </row>
    <row r="65">
      <c r="A65" s="89" t="n"/>
      <c r="B65" s="89" t="n"/>
      <c r="C65" s="89" t="n"/>
      <c r="D65" s="89" t="n"/>
      <c r="E65" s="89" t="n"/>
      <c r="F65" s="89" t="n"/>
      <c r="G65" s="89" t="n"/>
      <c r="H65" s="89" t="n"/>
      <c r="I65" s="89" t="n"/>
    </row>
    <row r="66">
      <c r="A66" s="89" t="n"/>
      <c r="B66" s="89" t="n"/>
      <c r="C66" s="89" t="n"/>
      <c r="D66" s="89" t="n"/>
      <c r="E66" s="89" t="n"/>
      <c r="F66" s="89" t="n"/>
      <c r="G66" s="89" t="n"/>
      <c r="H66" s="89" t="n"/>
      <c r="I66" s="89" t="n"/>
    </row>
    <row r="67">
      <c r="A67" s="89" t="n"/>
      <c r="B67" s="89" t="n"/>
      <c r="C67" s="89" t="n"/>
      <c r="D67" s="89" t="n"/>
      <c r="E67" s="89" t="n"/>
      <c r="F67" s="89" t="n"/>
      <c r="G67" s="89" t="n"/>
      <c r="H67" s="89" t="n"/>
      <c r="I67" s="89" t="n"/>
    </row>
    <row r="68">
      <c r="A68" s="89" t="n"/>
      <c r="B68" s="89" t="n"/>
      <c r="C68" s="89" t="n"/>
      <c r="D68" s="89" t="n"/>
      <c r="E68" s="89" t="n"/>
      <c r="F68" s="89" t="n"/>
      <c r="G68" s="89" t="n"/>
      <c r="H68" s="89" t="n"/>
      <c r="I68" s="89" t="n"/>
    </row>
    <row r="69">
      <c r="A69" s="89" t="n"/>
      <c r="B69" s="89" t="n"/>
      <c r="C69" s="89" t="n"/>
      <c r="D69" s="89" t="n"/>
      <c r="E69" s="89" t="n"/>
      <c r="F69" s="89" t="n"/>
      <c r="G69" s="89" t="n"/>
      <c r="H69" s="89" t="n"/>
      <c r="I69" s="89" t="n"/>
    </row>
    <row r="70">
      <c r="A70" s="89" t="n"/>
      <c r="B70" s="89" t="n"/>
      <c r="C70" s="89" t="n"/>
      <c r="D70" s="89" t="n"/>
      <c r="E70" s="89" t="n"/>
      <c r="F70" s="89" t="n"/>
      <c r="G70" s="89" t="n"/>
      <c r="H70" s="89" t="n"/>
      <c r="I70" s="89" t="n"/>
    </row>
    <row r="71">
      <c r="A71" s="89" t="n"/>
      <c r="B71" s="89" t="n"/>
      <c r="C71" s="89" t="n"/>
      <c r="D71" s="89" t="n"/>
      <c r="E71" s="89" t="n"/>
      <c r="F71" s="89" t="n"/>
      <c r="G71" s="89" t="n"/>
      <c r="H71" s="89" t="n"/>
      <c r="I71" s="89" t="n"/>
    </row>
    <row r="72">
      <c r="A72" s="89" t="n"/>
      <c r="B72" s="89" t="n"/>
      <c r="C72" s="89" t="n"/>
      <c r="D72" s="89" t="n"/>
      <c r="E72" s="89" t="n"/>
      <c r="F72" s="89" t="n"/>
      <c r="G72" s="89" t="n"/>
      <c r="H72" s="89" t="n"/>
      <c r="I72" s="89" t="n"/>
    </row>
    <row r="73">
      <c r="A73" s="89" t="n"/>
      <c r="B73" s="89" t="n"/>
      <c r="C73" s="89" t="n"/>
      <c r="D73" s="89" t="n"/>
      <c r="E73" s="89" t="n"/>
      <c r="F73" s="89" t="n"/>
      <c r="G73" s="89" t="n"/>
      <c r="H73" s="89" t="n"/>
      <c r="I73" s="89" t="n"/>
    </row>
    <row r="74">
      <c r="A74" s="89" t="n"/>
      <c r="B74" s="89" t="n"/>
      <c r="C74" s="89" t="n"/>
      <c r="D74" s="89" t="n"/>
      <c r="E74" s="89" t="n"/>
      <c r="F74" s="89" t="n"/>
      <c r="G74" s="89" t="n"/>
      <c r="H74" s="89" t="n"/>
      <c r="I74" s="89" t="n"/>
    </row>
    <row r="75">
      <c r="A75" s="89" t="n"/>
      <c r="B75" s="89" t="n"/>
      <c r="C75" s="89" t="n"/>
      <c r="D75" s="89" t="n"/>
      <c r="E75" s="89" t="n"/>
      <c r="F75" s="89" t="n"/>
      <c r="G75" s="89" t="n"/>
      <c r="H75" s="89" t="n"/>
      <c r="I75" s="89" t="n"/>
    </row>
    <row r="76">
      <c r="A76" s="89" t="n"/>
      <c r="B76" s="89" t="n"/>
      <c r="C76" s="89" t="n"/>
      <c r="D76" s="89" t="n"/>
      <c r="E76" s="89" t="n"/>
      <c r="F76" s="89" t="n"/>
      <c r="G76" s="89" t="n"/>
      <c r="H76" s="89" t="n"/>
      <c r="I76" s="89" t="n"/>
    </row>
    <row r="77">
      <c r="A77" s="89" t="n"/>
      <c r="B77" s="89" t="n"/>
      <c r="C77" s="89" t="n"/>
      <c r="D77" s="89" t="n"/>
      <c r="E77" s="89" t="n"/>
      <c r="F77" s="89" t="n"/>
      <c r="G77" s="89" t="n"/>
      <c r="H77" s="89" t="n"/>
      <c r="I77" s="89" t="n"/>
    </row>
    <row r="78">
      <c r="A78" s="89" t="n"/>
      <c r="B78" s="89" t="n"/>
      <c r="C78" s="89" t="n"/>
      <c r="D78" s="89" t="n"/>
      <c r="E78" s="89" t="n"/>
      <c r="F78" s="89" t="n"/>
      <c r="G78" s="89" t="n"/>
      <c r="H78" s="89" t="n"/>
      <c r="I78" s="89" t="n"/>
    </row>
    <row r="79">
      <c r="A79" s="89" t="n"/>
      <c r="B79" s="89" t="n"/>
      <c r="C79" s="89" t="n"/>
      <c r="D79" s="89" t="n"/>
      <c r="E79" s="89" t="n"/>
      <c r="F79" s="89" t="n"/>
      <c r="G79" s="89" t="n"/>
      <c r="H79" s="89" t="n"/>
      <c r="I79" s="89" t="n"/>
    </row>
    <row r="80">
      <c r="A80" s="89" t="n"/>
      <c r="B80" s="89" t="n"/>
      <c r="C80" s="89" t="n"/>
      <c r="D80" s="89" t="n"/>
      <c r="E80" s="89" t="n"/>
      <c r="F80" s="89" t="n"/>
      <c r="G80" s="89" t="n"/>
      <c r="H80" s="89" t="n"/>
      <c r="I80" s="89" t="n"/>
    </row>
    <row r="81">
      <c r="A81" s="89" t="n"/>
      <c r="B81" s="89" t="n"/>
      <c r="C81" s="89" t="n"/>
      <c r="D81" s="89" t="n"/>
      <c r="E81" s="89" t="n"/>
      <c r="F81" s="89" t="n"/>
      <c r="G81" s="89" t="n"/>
      <c r="H81" s="89" t="n"/>
      <c r="I81" s="89" t="n"/>
    </row>
    <row r="82">
      <c r="A82" s="89" t="n"/>
      <c r="B82" s="89" t="n"/>
      <c r="C82" s="89" t="n"/>
      <c r="D82" s="89" t="n"/>
      <c r="E82" s="89" t="n"/>
      <c r="F82" s="89" t="n"/>
      <c r="G82" s="89" t="n"/>
      <c r="H82" s="89" t="n"/>
      <c r="I82" s="89" t="n"/>
    </row>
    <row r="83">
      <c r="A83" s="89" t="n"/>
      <c r="B83" s="89" t="n"/>
      <c r="C83" s="89" t="n"/>
      <c r="D83" s="89" t="n"/>
      <c r="E83" s="89" t="n"/>
      <c r="F83" s="89" t="n"/>
      <c r="G83" s="89" t="n"/>
      <c r="H83" s="89" t="n"/>
      <c r="I83" s="89" t="n"/>
    </row>
    <row r="84">
      <c r="A84" s="89" t="n"/>
      <c r="B84" s="89" t="n"/>
      <c r="C84" s="89" t="n"/>
      <c r="D84" s="89" t="n"/>
      <c r="E84" s="89" t="n"/>
      <c r="F84" s="89" t="n"/>
      <c r="G84" s="89" t="n"/>
      <c r="H84" s="89" t="n"/>
      <c r="I84" s="89" t="n"/>
    </row>
    <row r="85">
      <c r="A85" s="89" t="n"/>
      <c r="B85" s="89" t="n"/>
      <c r="C85" s="89" t="n"/>
      <c r="D85" s="89" t="n"/>
      <c r="E85" s="89" t="n"/>
      <c r="F85" s="89" t="n"/>
      <c r="G85" s="89" t="n"/>
      <c r="H85" s="89" t="n"/>
      <c r="I85" s="89" t="n"/>
    </row>
    <row r="86">
      <c r="A86" s="89" t="n"/>
      <c r="B86" s="89" t="n"/>
      <c r="C86" s="89" t="n"/>
      <c r="D86" s="89" t="n"/>
      <c r="E86" s="89" t="n"/>
      <c r="F86" s="89" t="n"/>
      <c r="G86" s="89" t="n"/>
      <c r="H86" s="89" t="n"/>
      <c r="I86" s="89" t="n"/>
    </row>
    <row r="87">
      <c r="A87" s="89" t="n"/>
      <c r="B87" s="89" t="n"/>
      <c r="C87" s="89" t="n"/>
      <c r="D87" s="89" t="n"/>
      <c r="E87" s="89" t="n"/>
      <c r="F87" s="89" t="n"/>
      <c r="G87" s="89" t="n"/>
      <c r="H87" s="89" t="n"/>
      <c r="I87" s="89" t="n"/>
    </row>
    <row r="88">
      <c r="A88" s="89" t="n"/>
      <c r="B88" s="89" t="n"/>
      <c r="C88" s="89" t="n"/>
      <c r="D88" s="89" t="n"/>
      <c r="E88" s="89" t="n"/>
      <c r="F88" s="89" t="n"/>
      <c r="G88" s="89" t="n"/>
      <c r="H88" s="89" t="n"/>
      <c r="I88" s="89" t="n"/>
    </row>
    <row r="89">
      <c r="A89" s="89" t="n"/>
      <c r="B89" s="89" t="n"/>
      <c r="C89" s="89" t="n"/>
      <c r="D89" s="89" t="n"/>
      <c r="E89" s="89" t="n"/>
      <c r="F89" s="89" t="n"/>
      <c r="G89" s="89" t="n"/>
      <c r="H89" s="89" t="n"/>
      <c r="I89" s="89" t="n"/>
    </row>
    <row r="90">
      <c r="A90" s="89" t="n"/>
      <c r="B90" s="89" t="n"/>
      <c r="C90" s="89" t="n"/>
      <c r="D90" s="89" t="n"/>
      <c r="E90" s="89" t="n"/>
      <c r="F90" s="89" t="n"/>
      <c r="G90" s="89" t="n"/>
      <c r="H90" s="89" t="n"/>
      <c r="I90" s="89" t="n"/>
    </row>
    <row r="91">
      <c r="A91" s="89" t="n"/>
      <c r="B91" s="89" t="n"/>
      <c r="C91" s="89" t="n"/>
      <c r="D91" s="89" t="n"/>
      <c r="E91" s="89" t="n"/>
      <c r="F91" s="89" t="n"/>
      <c r="G91" s="89" t="n"/>
      <c r="H91" s="89" t="n"/>
      <c r="I91" s="89" t="n"/>
    </row>
    <row r="92">
      <c r="A92" s="89" t="n"/>
      <c r="B92" s="89" t="n"/>
      <c r="C92" s="89" t="n"/>
      <c r="D92" s="89" t="n"/>
      <c r="E92" s="89" t="n"/>
      <c r="F92" s="89" t="n"/>
      <c r="G92" s="89" t="n"/>
      <c r="H92" s="89" t="n"/>
      <c r="I92" s="89" t="n"/>
    </row>
    <row r="93">
      <c r="A93" s="89" t="n"/>
      <c r="B93" s="89" t="n"/>
      <c r="C93" s="89" t="n"/>
      <c r="D93" s="89" t="n"/>
      <c r="E93" s="89" t="n"/>
      <c r="F93" s="89" t="n"/>
      <c r="G93" s="89" t="n"/>
      <c r="H93" s="89" t="n"/>
      <c r="I93" s="89" t="n"/>
    </row>
    <row r="94">
      <c r="A94" s="89" t="n"/>
      <c r="B94" s="89" t="n"/>
      <c r="C94" s="89" t="n"/>
      <c r="D94" s="89" t="n"/>
      <c r="E94" s="89" t="n"/>
      <c r="F94" s="89" t="n"/>
      <c r="G94" s="89" t="n"/>
      <c r="H94" s="89" t="n"/>
      <c r="I94" s="89" t="n"/>
    </row>
    <row r="95">
      <c r="A95" s="89" t="n"/>
      <c r="B95" s="89" t="n"/>
      <c r="C95" s="89" t="n"/>
      <c r="D95" s="89" t="n"/>
      <c r="E95" s="89" t="n"/>
      <c r="F95" s="89" t="n"/>
      <c r="G95" s="89" t="n"/>
      <c r="H95" s="89" t="n"/>
      <c r="I95" s="89" t="n"/>
    </row>
    <row r="96">
      <c r="A96" s="89" t="n"/>
      <c r="B96" s="89" t="n"/>
      <c r="C96" s="89" t="n"/>
      <c r="D96" s="89" t="n"/>
      <c r="E96" s="89" t="n"/>
      <c r="F96" s="89" t="n"/>
      <c r="G96" s="89" t="n"/>
      <c r="H96" s="89" t="n"/>
      <c r="I96" s="89" t="n"/>
    </row>
    <row r="97">
      <c r="A97" s="89" t="n"/>
      <c r="B97" s="89" t="n"/>
      <c r="C97" s="89" t="n"/>
      <c r="D97" s="89" t="n"/>
      <c r="E97" s="89" t="n"/>
      <c r="F97" s="89" t="n"/>
      <c r="G97" s="89" t="n"/>
      <c r="H97" s="89" t="n"/>
      <c r="I97" s="89" t="n"/>
    </row>
    <row r="98">
      <c r="A98" s="89" t="n"/>
      <c r="B98" s="89" t="n"/>
      <c r="C98" s="89" t="n"/>
      <c r="D98" s="89" t="n"/>
      <c r="E98" s="89" t="n"/>
      <c r="F98" s="89" t="n"/>
      <c r="G98" s="89" t="n"/>
      <c r="H98" s="89" t="n"/>
      <c r="I98" s="89" t="n"/>
    </row>
    <row r="99">
      <c r="A99" s="89" t="n"/>
      <c r="B99" s="89" t="n"/>
      <c r="C99" s="89" t="n"/>
      <c r="D99" s="89" t="n"/>
      <c r="E99" s="89" t="n"/>
      <c r="F99" s="89" t="n"/>
      <c r="G99" s="89" t="n"/>
      <c r="H99" s="89" t="n"/>
      <c r="I99" s="89" t="n"/>
    </row>
    <row r="100">
      <c r="A100" s="89" t="n"/>
      <c r="B100" s="89" t="n"/>
      <c r="C100" s="89" t="n"/>
      <c r="D100" s="89" t="n"/>
      <c r="E100" s="89" t="n"/>
      <c r="F100" s="89" t="n"/>
      <c r="G100" s="89" t="n"/>
      <c r="H100" s="89" t="n"/>
      <c r="I100" s="89" t="n"/>
    </row>
    <row r="101">
      <c r="A101" s="89" t="n"/>
      <c r="B101" s="89" t="n"/>
      <c r="C101" s="89" t="n"/>
      <c r="D101" s="89" t="n"/>
      <c r="E101" s="89" t="n"/>
      <c r="F101" s="89" t="n"/>
      <c r="G101" s="89" t="n"/>
      <c r="H101" s="89" t="n"/>
      <c r="I101" s="89" t="n"/>
    </row>
    <row r="102">
      <c r="A102" s="89" t="n"/>
      <c r="B102" s="89" t="n"/>
      <c r="C102" s="89" t="n"/>
      <c r="D102" s="89" t="n"/>
      <c r="E102" s="89" t="n"/>
      <c r="F102" s="89" t="n"/>
      <c r="G102" s="89" t="n"/>
      <c r="H102" s="89" t="n"/>
      <c r="I102" s="89" t="n"/>
    </row>
    <row r="103">
      <c r="A103" s="89" t="n"/>
      <c r="B103" s="89" t="n"/>
      <c r="C103" s="89" t="n"/>
      <c r="D103" s="89" t="n"/>
      <c r="E103" s="89" t="n"/>
      <c r="F103" s="89" t="n"/>
      <c r="G103" s="89" t="n"/>
      <c r="H103" s="89" t="n"/>
      <c r="I103" s="8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3"/>
  <sheetViews>
    <sheetView showGridLines="1" workbookViewId="0">
      <selection activeCell="A1" sqref="A1"/>
    </sheetView>
  </sheetViews>
  <sheetFormatPr baseColWidth="8" defaultRowHeight="15"/>
  <cols>
    <col width="10" customWidth="1" min="1" max="1"/>
    <col width="30" customWidth="1" min="2" max="2"/>
    <col width="32" customWidth="1" min="3" max="3"/>
    <col width="38" customWidth="1" min="4" max="4"/>
    <col width="42" customWidth="1" min="5" max="5"/>
    <col width="28" customWidth="1" min="6" max="6"/>
    <col width="18" customWidth="1" min="7" max="7"/>
  </cols>
  <sheetData>
    <row r="1">
      <c r="A1" s="32" t="inlineStr">
        <is>
          <t>QUY TRÌNH 5 BƯỚC XÂY DỰNG &amp; BẺ NHỎ TASK TỪ GIAO DIỆN THIẾT KẾ</t>
        </is>
      </c>
    </row>
    <row r="2">
      <c r="A2" s="33" t="inlineStr">
        <is>
          <t>Dự án: GOBIKE (E-commerce Xe Đạp Trợ Lực Điện) | Nền tảng: WordPress 6.x + Flatsome Theme</t>
        </is>
      </c>
    </row>
    <row r="4">
      <c r="A4" s="34" t="inlineStr">
        <is>
          <t>I. QUY TRÌNH 5 BƯỚC CHUẨN XÂY DỰNG TASK KỸ THUẬT (DEVELOPER WORKFLOW)</t>
        </is>
      </c>
    </row>
    <row r="5" ht="28" customHeight="1">
      <c r="A5" s="3" t="inlineStr">
        <is>
          <t>Bước</t>
        </is>
      </c>
      <c r="B5" s="3" t="inlineStr">
        <is>
          <t>Giai Đoạn</t>
        </is>
      </c>
      <c r="C5" s="3" t="inlineStr">
        <is>
          <t>Mục Tiêu Trọng Tâm</t>
        </is>
      </c>
      <c r="D5" s="3" t="inlineStr">
        <is>
          <t>Hành Động Cụ Thể (Action Items)</t>
        </is>
      </c>
      <c r="E5" s="3" t="inlineStr">
        <is>
          <t>Đầu Ra Kỹ Thuật (Deliverables)</t>
        </is>
      </c>
      <c r="F5" s="3" t="inlineStr">
        <is>
          <t>Lưu Ý &amp; Kinh Nghiệm Dev</t>
        </is>
      </c>
    </row>
    <row r="6" ht="55" customHeight="1">
      <c r="A6" s="35" t="inlineStr">
        <is>
          <t>Bước 1</t>
        </is>
      </c>
      <c r="B6" s="36" t="inlineStr">
        <is>
          <t>Phân rã giao diện
(UI Decomposition)</t>
        </is>
      </c>
      <c r="C6" s="37" t="inlineStr">
        <is>
          <t>Bổ dọc giao diện từ trên xuống dưới và chia nhỏ các khối độc lập.</t>
        </is>
      </c>
      <c r="D6" s="37" t="inlineStr">
        <is>
          <t>1. Phân chia các Section: Header -&gt; Hero Slider -&gt; Flash Sale -&gt; Categories -&gt; News -&gt; Footer.
2. Phân tích phân cấp bên trong: Container -&gt; Row -&gt; Column -&gt; Element.</t>
        </is>
      </c>
      <c r="E6" s="37" t="inlineStr">
        <is>
          <t>Sơ đồ Wireframe cấu trúc trang và danh sách các section độc lập.</t>
        </is>
      </c>
      <c r="F6" s="37" t="inlineStr">
        <is>
          <t>Tránh gộp chung nhiều khối vào 1 section lớn để dễ tái sử dụng và tinh chỉnh responsive.</t>
        </is>
      </c>
    </row>
    <row r="7" ht="55" customHeight="1">
      <c r="A7" s="38" t="inlineStr">
        <is>
          <t>Bước 2</t>
        </is>
      </c>
      <c r="B7" s="39" t="inlineStr">
        <is>
          <t>Phân loại cơ chế kỹ thuật
(Component Classification)</t>
        </is>
      </c>
      <c r="C7" s="40" t="inlineStr">
        <is>
          <t>Xác định giải pháp kỹ thuật tối ưu nhất cho từng khối.</t>
        </is>
      </c>
      <c r="D7" s="40" t="inlineStr">
        <is>
          <t>Phân nhóm thành 3 loại:
- Kéo thả Native: Flatsome Header, UX Builder, Footer.
- Dữ liệu động: Query sản phẩm WooCommerce, danh mục xe.
- Custom Code: Shortcode 5 cột (1 Big + 8 Small), Tabs Flash Sale.</t>
        </is>
      </c>
      <c r="E7" s="40" t="inlineStr">
        <is>
          <t>Bản phân loại giải pháp kỹ thuật (Native vs Custom Shortcode vs CSS).</t>
        </is>
      </c>
      <c r="F7" s="40" t="inlineStr">
        <is>
          <t>Ưu tiên tính năng sẵn có của Flatsome trước, chỉ viết code PHP tùy biến khi giao diện quá đặc thù.</t>
        </is>
      </c>
    </row>
    <row r="8" ht="55" customHeight="1">
      <c r="A8" s="35" t="inlineStr">
        <is>
          <t>Bước 3</t>
        </is>
      </c>
      <c r="B8" s="36" t="inlineStr">
        <is>
          <t>Xác định điều kiện tiên quyết
(Dependencies &amp; Setup)</t>
        </is>
      </c>
      <c r="C8" s="37" t="inlineStr">
        <is>
          <t>Chuẩn bị dữ liệu nền tảng trước khi xây dựng giao diện hiển thị.</t>
        </is>
      </c>
      <c r="D8" s="37" t="inlineStr">
        <is>
          <t>1. Tạo Taxonomy danh mục xe: ADO, Phoenix, Học sinh, Địa hình...
2. Tạo WooCommerce Attributes: Pin (pa_pin), Động cơ (pa_dong-co), Quãng đường (pa_quang-duong).
3. Nhập 10-15 sản phẩm mẫu có giá khuyến mãi và ảnh chất lượng.</t>
        </is>
      </c>
      <c r="E8" s="37" t="inlineStr">
        <is>
          <t>Cơ sở dữ liệu sản phẩm mẫu và bộ thuộc tính hoàn chỉnh trong WP-Admin.</t>
        </is>
      </c>
      <c r="F8" s="37" t="inlineStr">
        <is>
          <t>Nếu không có dữ liệu mẫu trước, việc kiểm tra query sản phẩm và CSS hiển thị sẽ rất mất thời gian.</t>
        </is>
      </c>
    </row>
    <row r="9" ht="55" customHeight="1">
      <c r="A9" s="38" t="inlineStr">
        <is>
          <t>Bước 4</t>
        </is>
      </c>
      <c r="B9" s="39" t="inlineStr">
        <is>
          <t>Định nghĩa chi tiết Task
(Task Definition &amp; DoD)</t>
        </is>
      </c>
      <c r="C9" s="40" t="inlineStr">
        <is>
          <t>Mô tả rõ ràng yêu cầu kỹ thuật và tiêu chí nghiệm thu hoàn thành.</t>
        </is>
      </c>
      <c r="D9" s="40" t="inlineStr">
        <is>
          <t>Mỗi Task cần xác định rõ:
- Mã Task &amp; Tên công việc.
- File xử lý (functions.php, style.css hay UX Builder).
- Tiêu chí hoàn thành (Definition of Done - DoD).</t>
        </is>
      </c>
      <c r="E9" s="40" t="inlineStr">
        <is>
          <t>Danh mục Task chi tiết có tiêu chí nghiệm thu rõ ràng.</t>
        </is>
      </c>
      <c r="F9" s="40" t="inlineStr">
        <is>
          <t>Tiêu chí nghiệm thu phải bao gồm cả độ chính xác giao diện (Pixel) lẫn tính năng hoạt động mượt mà.</t>
        </is>
      </c>
    </row>
    <row r="10" ht="55" customHeight="1">
      <c r="A10" s="35" t="inlineStr">
        <is>
          <t>Bước 5</t>
        </is>
      </c>
      <c r="B10" s="36" t="inlineStr">
        <is>
          <t>Định lượng &amp; Đưa vào Timesheet
(Estimation &amp; Logging)</t>
        </is>
      </c>
      <c r="C10" s="37" t="inlineStr">
        <is>
          <t>Ước tính thời gian thực hiện và theo dõi tiến độ thực tế.</t>
        </is>
      </c>
      <c r="D10" s="37" t="inlineStr">
        <is>
          <t>1. Ước lượng số giờ hoàn thành cho từng task.
2. Nhập vào bảng Timesheet quản lý.
3. Ghi nhận thời gian Bắt đầu, Kết thúc thực tế và rút kinh nghiệm.</t>
        </is>
      </c>
      <c r="E10" s="37" t="inlineStr">
        <is>
          <t>Bảng theo dõi thời gian và nhật ký kỹ thuật đồng bộ giữa Excel và Markdown.</t>
        </is>
      </c>
      <c r="F10" s="37" t="inlineStr">
        <is>
          <t>Ghi chú lại các đoạn code hay và thủ thuật CSS để tái sử dụng cho các dự án sau.</t>
        </is>
      </c>
    </row>
    <row r="13">
      <c r="A13" s="34" t="inlineStr">
        <is>
          <t>II. MA TRẬN BẺ KHỐI &amp; PHÂN LOẠI KỸ THUẬT TRANG CHỦ GOBIKE</t>
        </is>
      </c>
    </row>
    <row r="14" ht="28" customHeight="1">
      <c r="A14" s="3" t="inlineStr">
        <is>
          <t>STT</t>
        </is>
      </c>
      <c r="B14" s="3" t="inlineStr">
        <is>
          <t>Tên Khối Giao Diện</t>
        </is>
      </c>
      <c r="C14" s="3" t="inlineStr">
        <is>
          <t>Phân Loại Thành Phần</t>
        </is>
      </c>
      <c r="D14" s="3" t="inlineStr">
        <is>
          <t>Công Cụ / File Xử Lý</t>
        </is>
      </c>
      <c r="E14" s="3" t="inlineStr">
        <is>
          <t>Phương Thức Triển Khai Kỹ Thuật</t>
        </is>
      </c>
      <c r="F14" s="3" t="inlineStr">
        <is>
          <t>Độ Phức Tạp</t>
        </is>
      </c>
      <c r="G14" s="53" t="inlineStr">
        <is>
          <t>Trạng Thái</t>
        </is>
      </c>
    </row>
    <row r="15" ht="25" customHeight="1">
      <c r="A15" s="41" t="n">
        <v>1</v>
      </c>
      <c r="B15" s="40" t="inlineStr">
        <is>
          <t>Header Đa Tầng (Top Bar đỏ + Main Header đen)</t>
        </is>
      </c>
      <c r="C15" s="40" t="inlineStr">
        <is>
          <t>Flatsome Native</t>
        </is>
      </c>
      <c r="D15" s="40" t="inlineStr">
        <is>
          <t>Flatsome Header Builder</t>
        </is>
      </c>
      <c r="E15" s="40" t="inlineStr">
        <is>
          <t>Kéo thả Top Bar (#d0021b) + Main Bar (#111111) + Form Live Search + Icons</t>
        </is>
      </c>
      <c r="F15" s="42" t="inlineStr">
        <is>
          <t>Dễ</t>
        </is>
      </c>
      <c r="G15" s="54" t="inlineStr">
        <is>
          <t>100% Hoàn thành</t>
        </is>
      </c>
    </row>
    <row r="16" ht="25" customHeight="1">
      <c r="A16" s="43" t="n">
        <v>2</v>
      </c>
      <c r="B16" s="37" t="inlineStr">
        <is>
          <t>Main Navigation Menu (Dải menu đỏ chính)</t>
        </is>
      </c>
      <c r="C16" s="37" t="inlineStr">
        <is>
          <t>Flatsome Native</t>
        </is>
      </c>
      <c r="D16" s="37" t="inlineStr">
        <is>
          <t>WP Menu + Customizer</t>
        </is>
      </c>
      <c r="E16" s="37" t="inlineStr">
        <is>
          <t>Tạo Menu chính màu đỏ đô #d0021b, liên kết danh mục xe và kích hoạt Mega Menu</t>
        </is>
      </c>
      <c r="F16" s="44" t="inlineStr">
        <is>
          <t>Dễ</t>
        </is>
      </c>
      <c r="G16" s="54" t="inlineStr">
        <is>
          <t>100% Hoàn thành</t>
        </is>
      </c>
    </row>
    <row r="17" ht="25" customHeight="1">
      <c r="A17" s="41" t="n">
        <v>3</v>
      </c>
      <c r="B17" s="40" t="inlineStr">
        <is>
          <t>Hero Section (Slider chính + Tin tức + Banner 1H)</t>
        </is>
      </c>
      <c r="C17" s="40" t="inlineStr">
        <is>
          <t>UX Builder Layout</t>
        </is>
      </c>
      <c r="D17" s="40" t="inlineStr">
        <is>
          <t>Flatsome UX Builder</t>
        </is>
      </c>
      <c r="E17" s="40" t="inlineStr">
        <is>
          <t>Row 2 cột (8/12 &amp; 4/12): Slider banner khuyến mãi + Widget Blog posts + Banner cam</t>
        </is>
      </c>
      <c r="F17" s="45" t="inlineStr">
        <is>
          <t>Trung bình</t>
        </is>
      </c>
      <c r="G17" s="54" t="inlineStr">
        <is>
          <t>100% Hoàn thành</t>
        </is>
      </c>
    </row>
    <row r="18" ht="25" customHeight="1">
      <c r="A18" s="43" t="n">
        <v>4</v>
      </c>
      <c r="B18" s="37" t="inlineStr">
        <is>
          <t>Giờ Vàng - Giá Cực Sốc (19h-21h Flash Sale)</t>
        </is>
      </c>
      <c r="C18" s="37" t="inlineStr">
        <is>
          <t>Custom UX + Data</t>
        </is>
      </c>
      <c r="D18" s="37" t="inlineStr">
        <is>
          <t>UX Builder + Tabs + Shortcode</t>
        </is>
      </c>
      <c r="E18" s="37" t="inlineStr">
        <is>
          <t>Tabs mốc thời gian (17h, 19h...) + Lưới 5 sản phẩm Flash sale kèm thanh tiến độ bán</t>
        </is>
      </c>
      <c r="F18" s="46" t="inlineStr">
        <is>
          <t>Khó</t>
        </is>
      </c>
      <c r="G18" s="54" t="inlineStr">
        <is>
          <t>100% Hoàn thành</t>
        </is>
      </c>
    </row>
    <row r="19" ht="25" customHeight="1">
      <c r="A19" s="41" t="n">
        <v>5</v>
      </c>
      <c r="B19" s="40" t="inlineStr">
        <is>
          <t>Khối Danh Mục Sản Phẩm (ADO, Phoenix, Học sinh...)</t>
        </is>
      </c>
      <c r="C19" s="40" t="inlineStr">
        <is>
          <t>Custom Shortcode PHP</t>
        </is>
      </c>
      <c r="D19" s="40" t="inlineStr">
        <is>
          <t>flatsome-child/functions.php + style.css</t>
        </is>
      </c>
      <c r="E19" s="40" t="inlineStr">
        <is>
          <t>Shortcode [gobike_category_block]: Hệ lưới 5 cột (1 Big Item 40% + 8 Standard Items)</t>
        </is>
      </c>
      <c r="F19" s="47" t="inlineStr">
        <is>
          <t>Khó</t>
        </is>
      </c>
      <c r="G19" s="54" t="inlineStr">
        <is>
          <t>100% Hoàn thành</t>
        </is>
      </c>
    </row>
    <row r="20" ht="25" customHeight="1">
      <c r="A20" s="43" t="n">
        <v>6</v>
      </c>
      <c r="B20" s="37" t="inlineStr">
        <is>
          <t>Section Tin Tức - Bài Viết (Blog Grid 4 cột)</t>
        </is>
      </c>
      <c r="C20" s="37" t="inlineStr">
        <is>
          <t>UX Builder Layout</t>
        </is>
      </c>
      <c r="D20" s="37" t="inlineStr">
        <is>
          <t>UX Builder (Blog Posts Element)</t>
        </is>
      </c>
      <c r="E20" s="37" t="inlineStr">
        <is>
          <t>Hiển thị 4 bài viết mới nhất: ảnh đại diện, tiêu đề, ngày đăng và nút Xem tất cả</t>
        </is>
      </c>
      <c r="F20" s="44" t="inlineStr">
        <is>
          <t>Dễ</t>
        </is>
      </c>
      <c r="G20" s="54" t="inlineStr">
        <is>
          <t>100% Hoàn thành</t>
        </is>
      </c>
    </row>
    <row r="21" ht="25" customHeight="1">
      <c r="A21" s="41" t="n">
        <v>7</v>
      </c>
      <c r="B21" s="40" t="inlineStr">
        <is>
          <t>Khối 4 Cam Kết Dịch Vụ (Trust Badges)</t>
        </is>
      </c>
      <c r="C21" s="40" t="inlineStr">
        <is>
          <t>UX Builder Layout</t>
        </is>
      </c>
      <c r="D21" s="40" t="inlineStr">
        <is>
          <t>UX Builder (Icon Box Row)</t>
        </is>
      </c>
      <c r="E21" s="40" t="inlineStr">
        <is>
          <t>Lưới 4 cột: 17 Năm kinh nghiệm, Bảo hành 18 tháng, Bảo dưỡng trọn đời, Giao hàng 12h</t>
        </is>
      </c>
      <c r="F21" s="42" t="inlineStr">
        <is>
          <t>Dễ</t>
        </is>
      </c>
      <c r="G21" s="54" t="inlineStr">
        <is>
          <t>100% Hoàn thành</t>
        </is>
      </c>
    </row>
    <row r="22" ht="25" customHeight="1">
      <c r="A22" s="43" t="n">
        <v>8</v>
      </c>
      <c r="B22" s="37" t="inlineStr">
        <is>
          <t>Footer 4 Cột &amp; Form Bản Quyền</t>
        </is>
      </c>
      <c r="C22" s="37" t="inlineStr">
        <is>
          <t>Flatsome Native</t>
        </is>
      </c>
      <c r="D22" s="37" t="inlineStr">
        <is>
          <t>Flatsome Footer Builder + Widgets</t>
        </is>
      </c>
      <c r="E22" s="37" t="inlineStr">
        <is>
          <t>Showroom 3 miền, Chính sách mua hàng, Logo Bộ Công Thương, Cổng thanh toán, Form email</t>
        </is>
      </c>
      <c r="F22" s="48" t="inlineStr">
        <is>
          <t>Trung bình</t>
        </is>
      </c>
      <c r="G22" s="54" t="inlineStr">
        <is>
          <t>100% Hoàn thành</t>
        </is>
      </c>
    </row>
    <row r="23" ht="25" customHeight="1">
      <c r="A23" s="41" t="n">
        <v>9</v>
      </c>
      <c r="B23" s="40" t="inlineStr">
        <is>
          <t>Responsive Mobile / Tablet</t>
        </is>
      </c>
      <c r="C23" s="40" t="inlineStr">
        <is>
          <t>Custom CSS</t>
        </is>
      </c>
      <c r="D23" s="40" t="inlineStr">
        <is>
          <t>flatsome-child/style.css (Media Queries)</t>
        </is>
      </c>
      <c r="E23" s="40" t="inlineStr">
        <is>
          <t>Chuyển lưới 5 cột thành 2 cột trên điện thoại, hỗ trợ vuốt trượt touch mượt mà</t>
        </is>
      </c>
      <c r="F23" s="45" t="inlineStr">
        <is>
          <t>Trung bình</t>
        </is>
      </c>
      <c r="G23" s="54" t="inlineStr">
        <is>
          <t>100% Hoàn thành</t>
        </is>
      </c>
    </row>
    <row r="24" ht="25" customHeight="1">
      <c r="A24" s="43" t="n">
        <v>10</v>
      </c>
      <c r="B24" s="37" t="inlineStr">
        <is>
          <t>Kiểm Thử &amp; Tinh Chỉnh Hiển Thị Toàn Trang</t>
        </is>
      </c>
      <c r="C24" s="37" t="inlineStr">
        <is>
          <t>QA &amp; Polish</t>
        </is>
      </c>
      <c r="D24" s="37" t="inlineStr">
        <is>
          <t>Trình duyệt + DevTools</t>
        </is>
      </c>
      <c r="E24" s="37" t="inlineStr">
        <is>
          <t>Kiểm tra pixel-perfect theo mockup, rà soát liên kết và tốc độ tải trang</t>
        </is>
      </c>
      <c r="F24" s="48" t="inlineStr">
        <is>
          <t>Trung bình</t>
        </is>
      </c>
      <c r="G24" s="54" t="inlineStr">
        <is>
          <t>100% Hoàn thành</t>
        </is>
      </c>
    </row>
    <row r="26">
      <c r="A26" s="34" t="inlineStr">
        <is>
          <t>III. MA TRẬN BẺ KHỐI &amp; KỸ THUẬT TRANG SẢN PHẨM (CATALOG ARCHIVE)</t>
        </is>
      </c>
    </row>
    <row r="27" ht="28" customHeight="1">
      <c r="A27" s="3" t="inlineStr">
        <is>
          <t>STT</t>
        </is>
      </c>
      <c r="B27" s="3" t="inlineStr">
        <is>
          <t>Tên Khối Giao Diện</t>
        </is>
      </c>
      <c r="C27" s="3" t="inlineStr">
        <is>
          <t>Phân Loại Thành Phần</t>
        </is>
      </c>
      <c r="D27" s="3" t="inlineStr">
        <is>
          <t>File / Template Can Thiệp</t>
        </is>
      </c>
      <c r="E27" s="3" t="inlineStr">
        <is>
          <t>Phương Thức Triển Khai Kỹ Thuật</t>
        </is>
      </c>
      <c r="F27" s="3" t="inlineStr">
        <is>
          <t>Độ Phức Tạp</t>
        </is>
      </c>
      <c r="G27" s="53" t="inlineStr">
        <is>
          <t>Trạng Thái</t>
        </is>
      </c>
    </row>
    <row r="28" ht="26" customHeight="1">
      <c r="A28" s="43" t="n">
        <v>1</v>
      </c>
      <c r="B28" s="37" t="inlineStr">
        <is>
          <t>Breadcrumb Điều Hướng</t>
        </is>
      </c>
      <c r="C28" s="37" t="inlineStr">
        <is>
          <t>WooCommerce Hook</t>
        </is>
      </c>
      <c r="D28" s="37" t="inlineStr">
        <is>
          <t>woocommerce/layouts/category-none.php</t>
        </is>
      </c>
      <c r="E28" s="37" t="inlineStr">
        <is>
          <t>Hook woocommerce_before_main_content + CSS font 13px màu xám nhạt</t>
        </is>
      </c>
      <c r="F28" s="44" t="inlineStr">
        <is>
          <t>Dễ</t>
        </is>
      </c>
      <c r="G28" s="54" t="inlineStr">
        <is>
          <t>100% Hoàn thành</t>
        </is>
      </c>
    </row>
    <row r="29" ht="26" customHeight="1">
      <c r="A29" s="41" t="n">
        <v>2</v>
      </c>
      <c r="B29" s="40" t="inlineStr">
        <is>
          <t>Cặp Banner Tiện Ích (Dual 50-50)</t>
        </is>
      </c>
      <c r="C29" s="40" t="inlineStr">
        <is>
          <t>Template PHP / UX Block</t>
        </is>
      </c>
      <c r="D29" s="40" t="inlineStr">
        <is>
          <t>functions.php &amp; category-none.php &amp; style.css</t>
        </is>
      </c>
      <c r="E29" s="40" t="inlineStr">
        <is>
          <t>2 Banner tiện ích SCF Theme Settings, render HTML Flatsome native (row, col medium-6), hiệu ứng CSS Animation zoom từ tâm 0 -&gt; 1 mượt mà</t>
        </is>
      </c>
      <c r="F29" s="45" t="inlineStr">
        <is>
          <t>Trung bình</t>
        </is>
      </c>
      <c r="G29" s="54" t="inlineStr">
        <is>
          <t>100% Hoàn thành</t>
        </is>
      </c>
    </row>
    <row r="30" ht="26" customHeight="1">
      <c r="A30" s="43" t="n">
        <v>3</v>
      </c>
      <c r="B30" s="37" t="inlineStr">
        <is>
          <t>Tiêu Đề H1 &amp; Bộ Lọc Ngang Dropdowns</t>
        </is>
      </c>
      <c r="C30" s="37" t="inlineStr">
        <is>
          <t>Widget Sidebar + Flexbox</t>
        </is>
      </c>
      <c r="D30" s="37" t="inlineStr">
        <is>
          <t>gobike-product-filter.php &amp; functions.php</t>
        </is>
      </c>
      <c r="E30" s="37" t="inlineStr">
        <is>
          <t>Đóng gói module độc lập 1 file gom toàn bộ PHP + CSS + JS, lọc 5 khoảng giá VNĐ, nút Bỏ hết bộ lọc, xử lý trạng thái không có sản phẩm</t>
        </is>
      </c>
      <c r="F30" s="46" t="inlineStr">
        <is>
          <t>Khó</t>
        </is>
      </c>
      <c r="G30" s="54" t="inlineStr">
        <is>
          <t>100% Hoàn thành</t>
        </is>
      </c>
    </row>
    <row r="31" ht="26" customHeight="1">
      <c r="A31" s="41" t="n">
        <v>4</v>
      </c>
      <c r="B31" s="40" t="inlineStr">
        <is>
          <t>Thanh Sắp Xếp Radio Buttons</t>
        </is>
      </c>
      <c r="C31" s="40" t="inlineStr">
        <is>
          <t>Custom Ordering Form</t>
        </is>
      </c>
      <c r="D31" s="40" t="inlineStr">
        <is>
          <t>gobike-product-filter.php</t>
        </is>
      </c>
      <c r="E31" s="40" t="inlineStr">
        <is>
          <t>Đồng bộ thanh sắp xếp radio buttons (Mặc định, Giá tăng/giảm, Mới nhất, Bán chạy, Tên A-Z) tích hợp chung trong module gobike-product-filter.php</t>
        </is>
      </c>
      <c r="F31" s="47" t="inlineStr">
        <is>
          <t>Khó</t>
        </is>
      </c>
      <c r="G31" s="54" t="inlineStr">
        <is>
          <t>100% Hoàn thành</t>
        </is>
      </c>
    </row>
    <row r="32" ht="26" customHeight="1">
      <c r="A32" s="43" t="n">
        <v>5</v>
      </c>
      <c r="B32" s="37" t="inlineStr">
        <is>
          <t>Lưới 5 Cột x 20 Sản Phẩm</t>
        </is>
      </c>
      <c r="C32" s="37" t="inlineStr">
        <is>
          <t>Template Loop Override</t>
        </is>
      </c>
      <c r="D32" s="37" t="inlineStr">
        <is>
          <t>woocommerce/content-product.php &amp; style.css</t>
        </is>
      </c>
      <c r="E32" s="37" t="inlineStr">
        <is>
          <t>Xóa ACF laptop cũ, in thuộc tính pin/động cơ xe đạp, nhãn ⚡ Giảm X%, CSS lưới 5 cột</t>
        </is>
      </c>
      <c r="F32" s="46" t="inlineStr">
        <is>
          <t>Khó</t>
        </is>
      </c>
      <c r="G32" s="54" t="inlineStr">
        <is>
          <t>100% Hoàn thành</t>
        </is>
      </c>
    </row>
    <row r="33" ht="26" customHeight="1">
      <c r="A33" s="41" t="n">
        <v>6</v>
      </c>
      <c r="B33" s="40" t="inlineStr">
        <is>
          <t>Thanh Phân Trang Màu Đỏ Bo Góc</t>
        </is>
      </c>
      <c r="C33" s="40" t="inlineStr">
        <is>
          <t>WooCommerce Pagination</t>
        </is>
      </c>
      <c r="D33" s="40" t="inlineStr">
        <is>
          <t>category-none.php &amp; style.css</t>
        </is>
      </c>
      <c r="E33" s="40" t="inlineStr">
        <is>
          <t>Hook woocommerce_after_shop_loop (woocommerce_pagination) + CSS ô vuông đỏ #d0021b</t>
        </is>
      </c>
      <c r="F33" s="42" t="inlineStr">
        <is>
          <t>Dễ</t>
        </is>
      </c>
      <c r="G33" s="54" t="inlineStr">
        <is>
          <t>100% Hoàn thành</t>
        </is>
      </c>
    </row>
    <row r="34" ht="26" customHeight="1">
      <c r="A34" s="43" t="n">
        <v>7</v>
      </c>
      <c r="B34" s="37" t="inlineStr">
        <is>
          <t>Khối Mô Tả SEO Chân Trang</t>
        </is>
      </c>
      <c r="C34" s="37" t="inlineStr">
        <is>
          <t>Term Description / Hook</t>
        </is>
      </c>
      <c r="D34" s="37" t="inlineStr">
        <is>
          <t>functions.php &amp; category-none.php &amp; style.css</t>
        </is>
      </c>
      <c r="E34" s="37" t="inlineStr">
        <is>
          <t>Khối mô tả hệ thống Aimos/Gobike cấu hình SCF Theme Settings, tiêu đề gạch viền nét đứt (border-bottom: 1px dashed #ccc), responsive chuẩn ảnh mẫu</t>
        </is>
      </c>
      <c r="F34" s="44" t="inlineStr">
        <is>
          <t>Dễ</t>
        </is>
      </c>
      <c r="G34" s="54" t="inlineStr">
        <is>
          <t>100% Hoàn thành</t>
        </is>
      </c>
    </row>
    <row r="35" ht="26" customHeight="1">
      <c r="A35" s="41" t="n">
        <v>8</v>
      </c>
      <c r="B35" s="40" t="inlineStr">
        <is>
          <t>Dải 4 Huy Hiệu Cam Kết Vàng</t>
        </is>
      </c>
      <c r="C35" s="40" t="inlineStr">
        <is>
          <t>UX Block / Shared HTML</t>
        </is>
      </c>
      <c r="D35" s="40" t="inlineStr">
        <is>
          <t>category-none.php (Hook sau phân trang)</t>
        </is>
      </c>
      <c r="E35" s="40" t="inlineStr">
        <is>
          <t>Khối 4 icon: 17 Năm, 15 Tháng BH, Bảo trì trọn đời, Giao hàng 12h</t>
        </is>
      </c>
      <c r="F35" s="42" t="inlineStr">
        <is>
          <t>Dễ</t>
        </is>
      </c>
      <c r="G35" s="54" t="inlineStr">
        <is>
          <t>100% Hoàn thành</t>
        </is>
      </c>
    </row>
    <row r="36" ht="26" customHeight="1">
      <c r="A36" s="43" t="n">
        <v>9</v>
      </c>
      <c r="B36" s="37" t="inlineStr">
        <is>
          <t>Kiểm Thử Responsive Mobile/Tablet</t>
        </is>
      </c>
      <c r="C36" s="37" t="inlineStr">
        <is>
          <t>CSS Media Queries</t>
        </is>
      </c>
      <c r="D36" s="37" t="inlineStr">
        <is>
          <t>flatsome-child/style.css</t>
        </is>
      </c>
      <c r="E36" s="37" t="inlineStr">
        <is>
          <t>Co giãn lưới 5 cột thành 2 cột, tối ưu panel lọc cho màn hình cảm ứng điện thoại</t>
        </is>
      </c>
      <c r="F36" s="48" t="inlineStr">
        <is>
          <t>Trung bình</t>
        </is>
      </c>
      <c r="G36" s="54" t="inlineStr">
        <is>
          <t>100% Hoàn thành</t>
        </is>
      </c>
    </row>
    <row r="38" ht="26" customHeight="1">
      <c r="A38" s="77" t="inlineStr">
        <is>
          <t>IV. MA TRẬN BẺ KHỐI &amp; KỸ THUẬT FOOTER CHUẨN MOCKUP (CHÂN TRANG TOÀN WEBSITE)</t>
        </is>
      </c>
    </row>
    <row r="39" ht="24" customHeight="1">
      <c r="A39" s="78" t="inlineStr">
        <is>
          <t>STT</t>
        </is>
      </c>
      <c r="B39" s="78" t="inlineStr">
        <is>
          <t>Tên Khối Giao Diện</t>
        </is>
      </c>
      <c r="C39" s="78" t="inlineStr">
        <is>
          <t>Phân Loại Thành Phần</t>
        </is>
      </c>
      <c r="D39" s="78" t="inlineStr">
        <is>
          <t>File / Template Can Thiệp</t>
        </is>
      </c>
      <c r="E39" s="78" t="inlineStr">
        <is>
          <t>Phương Thức Triển Khai Kỹ Thuật</t>
        </is>
      </c>
      <c r="F39" s="78" t="inlineStr">
        <is>
          <t>Độ Phức Tạp</t>
        </is>
      </c>
      <c r="G39" s="78" t="inlineStr">
        <is>
          <t>Trạng Thái</t>
        </is>
      </c>
    </row>
    <row r="40" ht="28" customHeight="1">
      <c r="A40" s="79" t="n">
        <v>1</v>
      </c>
      <c r="B40" s="80" t="inlineStr">
        <is>
          <t>Dải Cam Kết Dịch Vụ (Trust Badges Row)</t>
        </is>
      </c>
      <c r="C40" s="79" t="inlineStr">
        <is>
          <t>UX Block / Custom HTML</t>
        </is>
      </c>
      <c r="D40" s="80" t="inlineStr">
        <is>
          <t>Flatsome UX Block &amp; style.css</t>
        </is>
      </c>
      <c r="E40" s="80" t="inlineStr">
        <is>
          <t>Đổi màu 4 icon và text nổi bật sang đỏ #d0021b; loại bỏ đường viền xanh ngăn cách, căn chỉnh padding cân đối</t>
        </is>
      </c>
      <c r="F40" s="79" t="inlineStr">
        <is>
          <t>Trung bình</t>
        </is>
      </c>
      <c r="G40" s="85" t="inlineStr">
        <is>
          <t>Hoàn thành</t>
        </is>
      </c>
    </row>
    <row r="41" ht="28" customHeight="1">
      <c r="A41" s="79" t="n">
        <v>2</v>
      </c>
      <c r="B41" s="80" t="inlineStr">
        <is>
          <t>Cột 1: Box 4 Showroom &amp; Phương Thức Thanh Toán</t>
        </is>
      </c>
      <c r="C41" s="79" t="inlineStr">
        <is>
          <t>Custom HTML &amp; CSS</t>
        </is>
      </c>
      <c r="D41" s="80" t="inlineStr">
        <is>
          <t>Flatsome UX Block &amp; style.css</t>
        </is>
      </c>
      <c r="E41" s="80" t="inlineStr">
        <is>
          <t>Dựng box 4 showroom có badge đỏ [CS1]-[CS4], thanh tiêu đề xanh đen, hotline &amp; link Google Maps; chèn 4 badge thanh toán ATM, COD, Visa, Trả góp</t>
        </is>
      </c>
      <c r="F41" s="79" t="inlineStr">
        <is>
          <t>Khó</t>
        </is>
      </c>
      <c r="G41" s="85" t="inlineStr">
        <is>
          <t>Hoàn thành</t>
        </is>
      </c>
    </row>
    <row r="42" ht="28" customHeight="1">
      <c r="A42" s="79" t="n">
        <v>3</v>
      </c>
      <c r="B42" s="80" t="inlineStr">
        <is>
          <t>Cột 2: Tiện Ích, Pháp Lý, Hotline &amp; Mạng Xã Hội</t>
        </is>
      </c>
      <c r="C42" s="79" t="inlineStr">
        <is>
          <t>Custom HTML &amp; Icons</t>
        </is>
      </c>
      <c r="D42" s="80" t="inlineStr">
        <is>
          <t>Flatsome UX Block &amp; style.css</t>
        </is>
      </c>
      <c r="E42" s="80" t="inlineStr">
        <is>
          <t>Chèn cụm 4 icon tiện ích tròn; thêm dòng ĐKKD; cấu hình 5 đường hotline chuẩn màu (xanh/đỏ) + khung giờ; chèn 5 icon MXH có hover</t>
        </is>
      </c>
      <c r="F42" s="79" t="inlineStr">
        <is>
          <t>Trung bình</t>
        </is>
      </c>
      <c r="G42" s="85" t="inlineStr">
        <is>
          <t>Hoàn thành</t>
        </is>
      </c>
    </row>
    <row r="43" ht="28" customHeight="1">
      <c r="A43" s="79" t="n">
        <v>4</v>
      </c>
      <c r="B43" s="80" t="inlineStr">
        <is>
          <t>Cột 3 &amp; 4: Menu Hỗ Trợ, Logo BCT &amp; Form Nhận Tin</t>
        </is>
      </c>
      <c r="C43" s="79" t="inlineStr">
        <is>
          <t>Widgets &amp; Form HTML</t>
        </is>
      </c>
      <c r="D43" s="80" t="inlineStr">
        <is>
          <t>Flatsome Footer / UX Block</t>
        </is>
      </c>
      <c r="E43" s="80" t="inlineStr">
        <is>
          <t>Bổ sung menu Tìm kiếm, Đăng nhập, Giỏ hàng; chèn Logo dấu tích xanh Bộ Công Thương; dựng form email có nút Đăng ký đỏ #d0021b bo góc</t>
        </is>
      </c>
      <c r="F43" s="79" t="inlineStr">
        <is>
          <t>Trung bình</t>
        </is>
      </c>
      <c r="G43" s="85" t="inlineStr">
        <is>
          <t>Hoàn thành</t>
        </is>
      </c>
    </row>
    <row r="44" ht="28" customHeight="1">
      <c r="A44" s="79" t="n">
        <v>5</v>
      </c>
      <c r="B44" s="80" t="inlineStr">
        <is>
          <t>Kiểm Thử Responsive Mobile/Tablet &amp; Copyright</t>
        </is>
      </c>
      <c r="C44" s="79" t="inlineStr">
        <is>
          <t>CSS Media Queries &amp; Polish</t>
        </is>
      </c>
      <c r="D44" s="80" t="inlineStr">
        <is>
          <t>flatsome-child/style.css</t>
        </is>
      </c>
      <c r="E44" s="80" t="inlineStr">
        <is>
          <t>Tối ưu hiển thị footer dạng accordion/stack cột trên smartphone; căn chỉnh thanh bản quyền chân trang xám nhạt tinh tế</t>
        </is>
      </c>
      <c r="F44" s="79" t="inlineStr">
        <is>
          <t>Dễ</t>
        </is>
      </c>
      <c r="G44" s="85" t="inlineStr">
        <is>
          <t>Hoàn thành</t>
        </is>
      </c>
    </row>
    <row r="46" ht="26" customHeight="1">
      <c r="A46" s="82" t="inlineStr">
        <is>
          <t>V. MA TRẬN BẺ KHỐI &amp; KỸ THUẬT HEADER FLATSOME CHUẨN MẪU (THEO THIẾT KẾ ẢNH 1)</t>
        </is>
      </c>
    </row>
    <row r="47" ht="24" customHeight="1">
      <c r="A47" s="78" t="inlineStr">
        <is>
          <t>STT</t>
        </is>
      </c>
      <c r="B47" s="78" t="inlineStr">
        <is>
          <t>Tên Khối Giao Diện</t>
        </is>
      </c>
      <c r="C47" s="78" t="inlineStr">
        <is>
          <t>Phân Loại Thành Phần</t>
        </is>
      </c>
      <c r="D47" s="78" t="inlineStr">
        <is>
          <t>File / Template Can Thiệp</t>
        </is>
      </c>
      <c r="E47" s="78" t="inlineStr">
        <is>
          <t>Phương Thức Triển Khai Kỹ Thuật</t>
        </is>
      </c>
      <c r="F47" s="78" t="inlineStr">
        <is>
          <t>Độ Phức Tạp</t>
        </is>
      </c>
      <c r="G47" s="78" t="inlineStr">
        <is>
          <t>Trạng Thái</t>
        </is>
      </c>
    </row>
    <row r="48" ht="36" customHeight="1">
      <c r="A48" s="79" t="n">
        <v>1</v>
      </c>
      <c r="B48" s="80" t="inlineStr">
        <is>
          <t>Khắc Phục &amp; Tối Ưu Top Bar (Tầng 1)</t>
        </is>
      </c>
      <c r="C48" s="79" t="inlineStr">
        <is>
          <t>Header Builder &amp; Shortcode</t>
        </is>
      </c>
      <c r="D48" s="80" t="inlineStr">
        <is>
          <t>functions.php &amp; Header Top</t>
        </is>
      </c>
      <c r="E48" s="80" t="inlineStr">
        <is>
          <t>Xử lý lỗi shortcode [gobike_topbar_ticker], bỏ nền xanh lá, đổi sang nền đen (#111111) hoặc đỏ; cấu hình Email, giờ mở cửa &amp; Hotline phân cách mờ</t>
        </is>
      </c>
      <c r="F48" s="79" t="inlineStr">
        <is>
          <t>Trung bình</t>
        </is>
      </c>
      <c r="G48" s="85" t="inlineStr">
        <is>
          <t>Hoàn thành</t>
        </is>
      </c>
    </row>
    <row r="49" ht="36" customHeight="1">
      <c r="A49" s="79" t="inlineStr">
        <is>
          <t>2.1</t>
        </is>
      </c>
      <c r="B49" s="80" t="inlineStr">
        <is>
          <t>Task 2.1: Tùy Biến Thanh Tìm Kiếm (Pill Search) &amp; Gỡ CSS Fix Kích Thước</t>
        </is>
      </c>
      <c r="C49" s="79" t="inlineStr">
        <is>
          <t>Flatsome Search &amp; CSS</t>
        </is>
      </c>
      <c r="D49" s="80" t="inlineStr">
        <is>
          <t>flatsome-child/style.css</t>
        </is>
      </c>
      <c r="E49" s="80" t="inlineStr">
        <is>
          <t>Bo tròn dạng viên thuốc (border-radius: 25px; border: 1.5px solid #222), icon kính lúp góc phải, loại bỏ nút xanh cồng kềnh, tích hợp live search AJAX</t>
        </is>
      </c>
      <c r="F49" s="79" t="inlineStr">
        <is>
          <t>Trung bình</t>
        </is>
      </c>
      <c r="G49" s="85" t="inlineStr">
        <is>
          <t>Hoàn thành</t>
        </is>
      </c>
    </row>
    <row r="50" ht="36" customHeight="1">
      <c r="A50" s="79" t="n">
        <v>3</v>
      </c>
      <c r="B50" s="80" t="inlineStr">
        <is>
          <t>Tái Cấu Trúc Cụm 4 Tiện Ích Bên Phải (Minimalist Header Icons)</t>
        </is>
      </c>
      <c r="C50" s="79" t="inlineStr">
        <is>
          <t>Header Elements &amp; CSS</t>
        </is>
      </c>
      <c r="D50" s="80" t="inlineStr">
        <is>
          <t>Flatsome Header &amp; style.css</t>
        </is>
      </c>
      <c r="E50" s="80" t="inlineStr">
        <is>
          <t>Bỏ 4 nút xanh cồng kềnh; chuyển sang phong cách Icon mảnh + Text 2 dòng tinh tế (Hotline Mua hàng, Cửa hàng gần bạn, Tài khoản tròn, Giỏ hàng 0 đ kèm giá)</t>
        </is>
      </c>
      <c r="F50" s="79" t="inlineStr">
        <is>
          <t>Khó</t>
        </is>
      </c>
      <c r="G50" s="85" t="inlineStr">
        <is>
          <t>Hoàn thành</t>
        </is>
      </c>
    </row>
    <row r="51" ht="36" customHeight="1">
      <c r="A51" s="79" t="n">
        <v>4</v>
      </c>
      <c r="B51" s="80" t="inlineStr">
        <is>
          <t>Chuẩn Hóa Menu Bar &amp; Khối DANH MỤC (Tầng 3)</t>
        </is>
      </c>
      <c r="C51" s="79" t="inlineStr">
        <is>
          <t>WP Menu &amp; Customizer</t>
        </is>
      </c>
      <c r="D51" s="80" t="inlineStr">
        <is>
          <t>Flatsome Header Bottom &amp; CSS</t>
        </is>
      </c>
      <c r="E51" s="80" t="inlineStr">
        <is>
          <t>Đổi icon Danh mục sang lưới 4 ô vuông ⊞ kèm mũi tên; menu chữ hoa uppercase (Trang chủ, Giới thiệu, Sản phẩm, Tin tức, Liên hệ), thêm line ngăn cách mờ</t>
        </is>
      </c>
      <c r="F51" s="79" t="inlineStr">
        <is>
          <t>Trung bình</t>
        </is>
      </c>
      <c r="G51" s="85" t="inlineStr">
        <is>
          <t>Hoàn thành</t>
        </is>
      </c>
    </row>
    <row r="52" ht="36" customHeight="1">
      <c r="A52" s="79" t="n">
        <v>5</v>
      </c>
      <c r="B52" s="80" t="inlineStr">
        <is>
          <t>Kiểm Thử Responsive Mobile Header &amp; Sticky Navigation</t>
        </is>
      </c>
      <c r="C52" s="79" t="inlineStr">
        <is>
          <t>Mobile Header &amp; CSS</t>
        </is>
      </c>
      <c r="D52" s="80" t="inlineStr">
        <is>
          <t>flatsome-child/style.css (Media Queries)</t>
        </is>
      </c>
      <c r="E52" s="80" t="inlineStr">
        <is>
          <t>Tối ưu thanh header dính (sticky header), menu trượt off-canvas mượt mà trên điện thoại, thanh search mobile gọn gàng, tránh tràn viền</t>
        </is>
      </c>
      <c r="F52" s="79" t="inlineStr">
        <is>
          <t>Trung bình</t>
        </is>
      </c>
      <c r="G52" s="85" t="inlineStr">
        <is>
          <t>Hoàn thành</t>
        </is>
      </c>
    </row>
    <row r="54">
      <c r="A54" s="96" t="inlineStr">
        <is>
          <t>VI. MA TRẬN BẺ KHỐI &amp; TỐI ƯU RESPONSIVE TRANG CHỦ (MOBILE &amp; TABLET)</t>
        </is>
      </c>
    </row>
    <row r="55" ht="28" customHeight="1">
      <c r="A55" s="56" t="inlineStr">
        <is>
          <t>STT</t>
        </is>
      </c>
      <c r="B55" s="57" t="inlineStr">
        <is>
          <t>Tên Khối Giao Diện Cần Tối Ưu</t>
        </is>
      </c>
      <c r="C55" s="56" t="inlineStr">
        <is>
          <t>Phân Loại Thành Phần</t>
        </is>
      </c>
      <c r="D55" s="57" t="inlineStr">
        <is>
          <t>File / Template Can Thiệp</t>
        </is>
      </c>
      <c r="E55" s="57" t="inlineStr">
        <is>
          <t>Phương Thức Triển Khai Kỹ Thuật</t>
        </is>
      </c>
      <c r="F55" s="56" t="inlineStr">
        <is>
          <t>Độ Phức Tạp</t>
        </is>
      </c>
      <c r="G55" s="56" t="inlineStr">
        <is>
          <t>Trạng Thái</t>
        </is>
      </c>
    </row>
    <row r="56" ht="36" customHeight="1">
      <c r="A56" s="67" t="inlineStr">
        <is>
          <t>1.1</t>
        </is>
      </c>
      <c r="B56" s="59" t="inlineStr">
        <is>
          <t>Chuyển Vị Trí Logo GoBike Sang Sát Lề Trái</t>
        </is>
      </c>
      <c r="C56" s="58" t="inlineStr">
        <is>
          <t>Header Builder &amp; CSS</t>
        </is>
      </c>
      <c r="D56" s="59" t="inlineStr">
        <is>
          <t>Flatsome Header Mobile &amp; style.css</t>
        </is>
      </c>
      <c r="E56" s="59" t="inlineStr">
        <is>
          <t>Yêu cầu từ ảnh: Chuyển vị trí Logo từ chính giữa sang bên trái nằm sát ngay sau Menu Icon; chỉnh max-height logo 46-48px vừa vặn</t>
        </is>
      </c>
      <c r="F56" s="58" t="inlineStr">
        <is>
          <t>Trung bình</t>
        </is>
      </c>
      <c r="G56" s="99" t="inlineStr">
        <is>
          <t>Đang thực hiện</t>
        </is>
      </c>
    </row>
    <row r="57" ht="36" customHeight="1">
      <c r="A57" s="67" t="inlineStr">
        <is>
          <t>1.2</t>
        </is>
      </c>
      <c r="B57" s="59" t="inlineStr">
        <is>
          <t>Menu Hamburger 3 Gạch &amp; Off-Canvas Drawer</t>
        </is>
      </c>
      <c r="C57" s="58" t="inlineStr">
        <is>
          <t>Mobile Nav &amp; Flatsome</t>
        </is>
      </c>
      <c r="D57" s="59" t="inlineStr">
        <is>
          <t>Flatsome Header Mobile</t>
        </is>
      </c>
      <c r="E57" s="59" t="inlineStr">
        <is>
          <t>Yêu cầu từ ảnh: Nút menu 3 gạch nền xanh lá (#00a651) bo góc vuông mềm; bấm mở trượt menu danh mục sản phẩm từ bên trái (off-canvas left)</t>
        </is>
      </c>
      <c r="F57" s="58" t="inlineStr">
        <is>
          <t>Dễ</t>
        </is>
      </c>
      <c r="G57" s="99" t="inlineStr">
        <is>
          <t>Đang thực hiện</t>
        </is>
      </c>
    </row>
    <row r="58" ht="36" customHeight="1">
      <c r="A58" s="67" t="inlineStr">
        <is>
          <t>1.3</t>
        </is>
      </c>
      <c r="B58" s="59" t="inlineStr">
        <is>
          <t>Cụm 2 Icon Tiện Ích Bên Phải Header</t>
        </is>
      </c>
      <c r="C58" s="58" t="inlineStr">
        <is>
          <t>Header Icons &amp; CSS</t>
        </is>
      </c>
      <c r="D58" s="59" t="inlineStr">
        <is>
          <t>Flatsome Header Mobile</t>
        </is>
      </c>
      <c r="E58" s="59" t="inlineStr">
        <is>
          <t>Yêu cầu từ ảnh: Icon Định vị/Cửa hàng gần bạn (hình tròn xanh lá) + Icon Giỏ hàng (nền xanh lá bo góc) đặt sát lề phải</t>
        </is>
      </c>
      <c r="F58" s="58" t="inlineStr">
        <is>
          <t>Dễ</t>
        </is>
      </c>
      <c r="G58" s="99" t="inlineStr">
        <is>
          <t>Đang thực hiện</t>
        </is>
      </c>
    </row>
    <row r="59" ht="36" customHeight="1">
      <c r="A59" s="67" t="inlineStr">
        <is>
          <t>1.4</t>
        </is>
      </c>
      <c r="B59" s="59" t="inlineStr">
        <is>
          <t>Thanh Tìm Kiếm Viên Thuốc (Pill Search Mobile)</t>
        </is>
      </c>
      <c r="C59" s="58" t="inlineStr">
        <is>
          <t>Search Element &amp; CSS</t>
        </is>
      </c>
      <c r="D59" s="59" t="inlineStr">
        <is>
          <t>flatsome-child/style.css</t>
        </is>
      </c>
      <c r="E59" s="59" t="inlineStr">
        <is>
          <t>Yêu cầu từ ảnh: Bố cục tầng 2 dạng viên thuốc bo tròn viền xám mờ; placeholder 'Bạn cần tìm gì?'; nút kính lúp tròn xanh lá ở góc phải</t>
        </is>
      </c>
      <c r="F59" s="58" t="inlineStr">
        <is>
          <t>Trung bình</t>
        </is>
      </c>
      <c r="G59" s="99" t="inlineStr">
        <is>
          <t>Đang thực hiện</t>
        </is>
      </c>
    </row>
    <row r="60" ht="36" customHeight="1">
      <c r="A60" s="67" t="inlineStr">
        <is>
          <t>2</t>
        </is>
      </c>
      <c r="B60" s="59" t="inlineStr">
        <is>
          <t>Hero Section &amp; Slider Banner Mobile</t>
        </is>
      </c>
      <c r="C60" s="58" t="inlineStr">
        <is>
          <t>UX Slider &amp; CSS</t>
        </is>
      </c>
      <c r="D60" s="59" t="inlineStr">
        <is>
          <t>UX Builder &amp; style.css</t>
        </is>
      </c>
      <c r="E60" s="59" t="inlineStr">
        <is>
          <t>Co giãn chiều cao slider banner theo tỷ lệ màn hình điện thoại (touch swipe), chuyển khối tin tức nổi bật và banner 1H xuống dưới dạng carousel hoặc xếp chồng gọn</t>
        </is>
      </c>
      <c r="F60" s="58" t="inlineStr">
        <is>
          <t>Trung bình</t>
        </is>
      </c>
      <c r="G60" s="97" t="inlineStr">
        <is>
          <t>100% Hoàn thành</t>
        </is>
      </c>
    </row>
    <row r="61" ht="36" customHeight="1">
      <c r="A61" s="67" t="inlineStr">
        <is>
          <t>3</t>
        </is>
      </c>
      <c r="B61" s="59" t="inlineStr">
        <is>
          <t>Section Giờ Vàng Flash Sale Mobile</t>
        </is>
      </c>
      <c r="C61" s="58" t="inlineStr">
        <is>
          <t>UX Tabs &amp; CSS Loop</t>
        </is>
      </c>
      <c r="D61" s="59" t="inlineStr">
        <is>
          <t>UX Builder &amp; style.css</t>
        </is>
      </c>
      <c r="E61" s="59" t="inlineStr">
        <is>
          <t>Chuyển các tab khung giờ (17h, 19h, 20h, 21h) thành thanh cuộn ngang cảm ứng ngón tay (horizontal touch scroll), lưới sản phẩm sale co giãn 2 cột/dòng</t>
        </is>
      </c>
      <c r="F61" s="58" t="inlineStr">
        <is>
          <t>Khó</t>
        </is>
      </c>
      <c r="G61" s="97" t="inlineStr">
        <is>
          <t>Chờ thực hiện</t>
        </is>
      </c>
    </row>
    <row r="62" ht="36" customHeight="1">
      <c r="A62" s="67" t="inlineStr">
        <is>
          <t>4</t>
        </is>
      </c>
      <c r="B62" s="59" t="inlineStr">
        <is>
          <t>4 Khối Danh Mục Sản Phẩm (Shortcode 5 Cột)</t>
        </is>
      </c>
      <c r="C62" s="58" t="inlineStr">
        <is>
          <t>PHP Shortcode &amp; CSS Grid</t>
        </is>
      </c>
      <c r="D62" s="59" t="inlineStr">
        <is>
          <t>functions.php &amp; style.css</t>
        </is>
      </c>
      <c r="E62" s="59" t="inlineStr">
        <is>
          <t>Tối ưu shortcode [gobike_category_block]: Chuyển bố cục 1 Big Item 40% + 8 Small Items sang lưới 2 cột đều đặn trên mobile, ẩn bớt text dài tránh vỡ layout</t>
        </is>
      </c>
      <c r="F62" s="58" t="inlineStr">
        <is>
          <t>Khó</t>
        </is>
      </c>
      <c r="G62" s="97" t="inlineStr">
        <is>
          <t>Chờ thực hiện</t>
        </is>
      </c>
    </row>
    <row r="63" ht="36" customHeight="1">
      <c r="A63" s="67" t="inlineStr">
        <is>
          <t>5</t>
        </is>
      </c>
      <c r="B63" s="59" t="inlineStr">
        <is>
          <t>Tin Tức, Trust Badges &amp; Footer Mobile</t>
        </is>
      </c>
      <c r="C63" s="58" t="inlineStr">
        <is>
          <t>CSS Media Queries &amp; QA</t>
        </is>
      </c>
      <c r="D63" s="59" t="inlineStr">
        <is>
          <t>flatsome-child/style.css</t>
        </is>
      </c>
      <c r="E63" s="59" t="inlineStr">
        <is>
          <t>Tin tức hiển thị dạng slider/1-2 cột, dải 4 cam kết cuộn ngang ngón tay, các cột footer xếp dọc 1 cột ngay ngắn, kiểm tra triệt để lỗi tràn ngang (overflow-x)</t>
        </is>
      </c>
      <c r="F63" s="58" t="inlineStr">
        <is>
          <t>Trung bình</t>
        </is>
      </c>
      <c r="G63" s="97" t="inlineStr">
        <is>
          <t>Chờ thực hiện</t>
        </is>
      </c>
    </row>
    <row r="66">
      <c r="A66" s="96" t="inlineStr">
        <is>
          <t>VII. BẢNG TRA CỨU &amp; DANH MỤC SHORTCODE SỬ DỤNG CHO HEADER FLATSOME</t>
        </is>
      </c>
    </row>
    <row r="67" ht="28" customHeight="1">
      <c r="A67" s="56" t="inlineStr">
        <is>
          <t>STT</t>
        </is>
      </c>
      <c r="B67" s="57" t="inlineStr">
        <is>
          <t>Tên Shortcode</t>
        </is>
      </c>
      <c r="C67" s="57" t="inlineStr">
        <is>
          <t>Cú Pháp Chuẩn &amp; Tham Số (Syntax)</t>
        </is>
      </c>
      <c r="D67" s="57" t="inlineStr">
        <is>
          <t>Vị Trí Áp Dụng Trên Header</t>
        </is>
      </c>
      <c r="E67" s="57" t="inlineStr">
        <is>
          <t>Chức Năng &amp; Mục Đích Kỹ Thuật</t>
        </is>
      </c>
      <c r="F67" s="56" t="inlineStr">
        <is>
          <t>Nguồn Gốc (Phân Loại)</t>
        </is>
      </c>
      <c r="G67" s="56" t="inlineStr">
        <is>
          <t>Trạng Thái</t>
        </is>
      </c>
    </row>
    <row r="68" ht="36" customHeight="1">
      <c r="A68" s="67" t="n">
        <v>1</v>
      </c>
      <c r="B68" s="100" t="inlineStr">
        <is>
          <t>Ticker Chạy Chữ Topbar</t>
        </is>
      </c>
      <c r="C68" s="101" t="inlineStr">
        <is>
          <t>[gobike_topbar_ticker]</t>
        </is>
      </c>
      <c r="D68" s="59" t="inlineStr">
        <is>
          <t>Top Bar (HTML 3 / Custom Text)</t>
        </is>
      </c>
      <c r="E68" s="59" t="inlineStr">
        <is>
          <t>Chạy dòng chữ thông báo khuyến mãi, miễn phí giao hàng &amp; hotline trên thanh Top Bar</t>
        </is>
      </c>
      <c r="F68" s="58" t="inlineStr">
        <is>
          <t>Custom Theme (functions.php)</t>
        </is>
      </c>
      <c r="G68" s="60" t="inlineStr">
        <is>
          <t>Đang hoạt động</t>
        </is>
      </c>
    </row>
    <row r="69" ht="36" customHeight="1">
      <c r="A69" s="67" t="n">
        <v>2</v>
      </c>
      <c r="B69" s="100" t="inlineStr">
        <is>
          <t>Thanh Tìm Kiếm Dạng Phẳng</t>
        </is>
      </c>
      <c r="C69" s="101" t="inlineStr">
        <is>
          <t>[search style="flat"]</t>
        </is>
      </c>
      <c r="D69" s="59" t="inlineStr">
        <is>
          <t>Header Main / Mobile (HTML 1 hoặc 5)</t>
        </is>
      </c>
      <c r="E69" s="59" t="inlineStr">
        <is>
          <t>Hiển thị khung tìm kiếm phẳng, bo cong góc, tích hợp AJAX live search sản phẩm tức thì</t>
        </is>
      </c>
      <c r="F69" s="58" t="inlineStr">
        <is>
          <t>Flatsome Core Shortcode</t>
        </is>
      </c>
      <c r="G69" s="60" t="inlineStr">
        <is>
          <t>Đang áp dụng</t>
        </is>
      </c>
    </row>
    <row r="70" ht="36" customHeight="1">
      <c r="A70" s="67" t="n">
        <v>3</v>
      </c>
      <c r="B70" s="100" t="inlineStr">
        <is>
          <t>Thanh Tìm Kiếm Tiêu Chuẩn</t>
        </is>
      </c>
      <c r="C70" s="101" t="inlineStr">
        <is>
          <t>[search style="normal" size="small"]</t>
        </is>
      </c>
      <c r="D70" s="59" t="inlineStr">
        <is>
          <t>Header Bottom / Header Sticky</t>
        </is>
      </c>
      <c r="E70" s="59" t="inlineStr">
        <is>
          <t>Thanh tìm kiếm viền nét bo tròn có nút bấm kính lúp độc lập, hỗ trợ tùy chỉnh kích cỡ</t>
        </is>
      </c>
      <c r="F70" s="58" t="inlineStr">
        <is>
          <t>Flatsome Core Shortcode</t>
        </is>
      </c>
      <c r="G70" s="99" t="inlineStr">
        <is>
          <t>Sẵn sàng</t>
        </is>
      </c>
    </row>
    <row r="71" ht="36" customHeight="1">
      <c r="A71" s="67" t="n">
        <v>4</v>
      </c>
      <c r="B71" s="100" t="inlineStr">
        <is>
          <t>Nhúng Khối UX Block / Mega Menu</t>
        </is>
      </c>
      <c r="C71" s="101" t="inlineStr">
        <is>
          <t>[block id="slug-ux-block"]</t>
        </is>
      </c>
      <c r="D71" s="59" t="inlineStr">
        <is>
          <t>Mega Menu Dropdown / Header Bottom</t>
        </is>
      </c>
      <c r="E71" s="59" t="inlineStr">
        <is>
          <t>Nhúng bất kỳ khối thiết kế UX Builder tùy biến nào vào menu đa tầng hoặc chân header</t>
        </is>
      </c>
      <c r="F71" s="58" t="inlineStr">
        <is>
          <t>Flatsome Core Shortcode</t>
        </is>
      </c>
      <c r="G71" s="60" t="inlineStr">
        <is>
          <t>Đang áp dụng</t>
        </is>
      </c>
    </row>
    <row r="72" ht="36" customHeight="1">
      <c r="A72" s="67" t="n">
        <v>5</v>
      </c>
      <c r="B72" s="100" t="inlineStr">
        <is>
          <t>Nút Bấm Tiện Ích Bo Tròn</t>
        </is>
      </c>
      <c r="C72" s="101" t="inlineStr">
        <is>
          <t>[button text="Hotline" link="tel:..." style="primary" radius="99px" icon="icon-phone"]</t>
        </is>
      </c>
      <c r="D72" s="59" t="inlineStr">
        <is>
          <t>Header Right (HTML / Button)</t>
        </is>
      </c>
      <c r="E72" s="59" t="inlineStr">
        <is>
          <t>Tạo nút Hotline hoặc Cửa hàng gần bạn bo tròn viên thuốc kèm icon nhận diện GoBike</t>
        </is>
      </c>
      <c r="F72" s="58" t="inlineStr">
        <is>
          <t>Flatsome Core Shortcode</t>
        </is>
      </c>
      <c r="G72" s="60" t="inlineStr">
        <is>
          <t>Đang áp dụng</t>
        </is>
      </c>
    </row>
    <row r="73" ht="36" customHeight="1">
      <c r="A73" s="67" t="n">
        <v>6</v>
      </c>
      <c r="B73" s="100" t="inlineStr">
        <is>
          <t>Chuỗi Icon Mạng Xã Hội</t>
        </is>
      </c>
      <c r="C73" s="101" t="inlineStr">
        <is>
          <t>[follow facebook="url" tiktok="url" youtube="url"]</t>
        </is>
      </c>
      <c r="D73" s="59" t="inlineStr">
        <is>
          <t>Top Bar / Menu Trượt Off-Canvas</t>
        </is>
      </c>
      <c r="E73" s="59" t="inlineStr">
        <is>
          <t>Hiển thị chuỗi icon liên kết mạng xã hội chính thức (Facebook, TikTok, YouTube) bo tròn</t>
        </is>
      </c>
      <c r="F73" s="58" t="inlineStr">
        <is>
          <t>Flatsome Core Shortcode</t>
        </is>
      </c>
      <c r="G73" s="99" t="inlineStr">
        <is>
          <t>Sẵn sàng</t>
        </is>
      </c>
    </row>
    <row r="74" ht="36" customHeight="1">
      <c r="A74" s="67" t="n">
        <v>7</v>
      </c>
      <c r="B74" s="100" t="inlineStr">
        <is>
          <t>Menu Điều Hướng Nhúng</t>
        </is>
      </c>
      <c r="C74" s="101" t="inlineStr">
        <is>
          <t>[ux_menu id="slug-menu"]</t>
        </is>
      </c>
      <c r="D74" s="59" t="inlineStr">
        <is>
          <t>Header Mobile / Off-Canvas Drawer</t>
        </is>
      </c>
      <c r="E74" s="59" t="inlineStr">
        <is>
          <t>Nhúng một menu WordPress đã tạo sẵn vào bất kỳ vị trí HTML nào trên thanh Header</t>
        </is>
      </c>
      <c r="F74" s="58" t="inlineStr">
        <is>
          <t>Flatsome Core Shortcode</t>
        </is>
      </c>
      <c r="G74" s="99" t="inlineStr">
        <is>
          <t>Sẵn sàng</t>
        </is>
      </c>
    </row>
    <row r="75" ht="36" customHeight="1">
      <c r="A75" s="67" t="n">
        <v>8</v>
      </c>
      <c r="B75" s="100" t="inlineStr">
        <is>
          <t>Ảnh Logo Tùy Biến Mobile</t>
        </is>
      </c>
      <c r="C75" s="101" t="inlineStr">
        <is>
          <t>[ux_image id="img_id" width="120px"]</t>
        </is>
      </c>
      <c r="D75" s="59" t="inlineStr">
        <is>
          <t>Header Left Mobile (Khối HTML)</t>
        </is>
      </c>
      <c r="E75" s="59" t="inlineStr">
        <is>
          <t>Chèn logo độc lập cho Mobile khi muốn tách biệt vị trí với Logo Desktop mà không bị khóa</t>
        </is>
      </c>
      <c r="F75" s="58" t="inlineStr">
        <is>
          <t>Flatsome Core Shortcode</t>
        </is>
      </c>
      <c r="G75" s="99" t="inlineStr">
        <is>
          <t>Sẵn sàng</t>
        </is>
      </c>
    </row>
    <row r="77">
      <c r="A77" s="96" t="inlineStr">
        <is>
          <t>VIII. MA TRẬN BẺ KHỐI &amp; KỸ THUẬT XÂY DỰNG MOBILE BOTTOM NAVIGATION BAR (THEO THIẾT KẾ MẪU ẢNH 2)</t>
        </is>
      </c>
    </row>
    <row r="78">
      <c r="A78" s="56" t="inlineStr">
        <is>
          <t>STT</t>
        </is>
      </c>
      <c r="B78" s="56" t="inlineStr">
        <is>
          <t>Tên Khối Giao Diện / Tính Năng</t>
        </is>
      </c>
      <c r="C78" s="56" t="inlineStr">
        <is>
          <t>Phân Loại Thành Phần</t>
        </is>
      </c>
      <c r="D78" s="56" t="inlineStr">
        <is>
          <t>File / Template Can Thiệp</t>
        </is>
      </c>
      <c r="E78" s="56" t="inlineStr">
        <is>
          <t>Phương Thức Triển Khai Kỹ Thuật</t>
        </is>
      </c>
      <c r="F78" s="56" t="inlineStr">
        <is>
          <t>Độ Phức Tạp</t>
        </is>
      </c>
    </row>
    <row r="79">
      <c r="A79" s="67" t="n">
        <v>1</v>
      </c>
      <c r="B79" s="105" t="inlineStr">
        <is>
          <t>Khởi Tạo Khung Thanh Menu Dính Đáy Mobile</t>
        </is>
      </c>
      <c r="C79" s="58" t="inlineStr">
        <is>
          <t>Custom Footer HTML &amp; Hook</t>
        </is>
      </c>
      <c r="D79" s="104" t="inlineStr">
        <is>
          <t>flatsome-child/functions.php</t>
        </is>
      </c>
      <c r="E79" s="59" t="inlineStr">
        <is>
          <t>Móc vào hook wp_footer tạo khung cố định chân trang (#gobike-bottom-nav), áp dụng position: fixed; bottom: 0; left: 0; width: 100%; z-index: 999; flexbox chia đều 5 cột</t>
        </is>
      </c>
      <c r="F79" s="58" t="inlineStr">
        <is>
          <t>Dễ</t>
        </is>
      </c>
      <c r="G79" t="inlineStr">
        <is>
          <t>100% Hoàn thành</t>
        </is>
      </c>
    </row>
    <row r="80">
      <c r="A80" s="67" t="n">
        <v>2</v>
      </c>
      <c r="B80" s="105" t="inlineStr">
        <is>
          <t>Xây Dựng 4 Nút Tiện Ích Phẳng 2 Bên (Trang chủ, Sản phẩm, Messenger, Zalo)</t>
        </is>
      </c>
      <c r="C80" s="58" t="inlineStr">
        <is>
          <t>Icon Box &amp; Action Links</t>
        </is>
      </c>
      <c r="D80" s="104" t="inlineStr">
        <is>
          <t>functions.php &amp; style.css</t>
        </is>
      </c>
      <c r="E80" s="59" t="inlineStr">
        <is>
          <t>Thiết kế 4 nút điều hướng phẳng gồm Icon SVG/FontAwesome bên trên + Label chữ nhỏ bên dưới; gắn link Trang chủ (/), Danh mục Sản phẩm (/san-pham/), link chat Zalo (zalo.me) &amp; Messenger (m.me)</t>
        </is>
      </c>
      <c r="F80" s="58" t="inlineStr">
        <is>
          <t>Dễ</t>
        </is>
      </c>
      <c r="G80" t="inlineStr">
        <is>
          <t>100% Hoàn thành</t>
        </is>
      </c>
    </row>
    <row r="81">
      <c r="A81" s="67" t="n">
        <v>3</v>
      </c>
      <c r="B81" s="105" t="inlineStr">
        <is>
          <t>Thiết Kế Nút Gọi Điện Tròn Nổi Bật (Raised Center FAB)</t>
        </is>
      </c>
      <c r="C81" s="58" t="inlineStr">
        <is>
          <t>Floating Button &amp; Animation</t>
        </is>
      </c>
      <c r="D81" s="104" t="inlineStr">
        <is>
          <t>flatsome-child/style.css</t>
        </is>
      </c>
      <c r="E81" s="59" t="inlineStr">
        <is>
          <t>Nút hotline ở vị trí trung tâm (nút thứ 3): Bo tròn 52px, nền đỏ #d0021b, viền trắng 3px, nhô cao lên trên thanh bar (transform: translateY(-18px)), đổ bóng 3D nổi bật kèm hiệu ứng pulse sóng rung thu hút khách gọi</t>
        </is>
      </c>
      <c r="F81" s="58" t="inlineStr">
        <is>
          <t>Trung bình</t>
        </is>
      </c>
      <c r="G81" t="inlineStr">
        <is>
          <t>100% Hoàn thành</t>
        </is>
      </c>
    </row>
    <row r="82">
      <c r="A82" s="67" t="n">
        <v>4</v>
      </c>
      <c r="B82" s="105" t="inlineStr">
        <is>
          <t>Media Queries &amp; Khoảng Đệm An Toàn (Safe Area)</t>
        </is>
      </c>
      <c r="C82" s="58" t="inlineStr">
        <is>
          <t>CSS Responsive &amp; Safe-area</t>
        </is>
      </c>
      <c r="D82" s="104" t="inlineStr">
        <is>
          <t>flatsome-child/style.css</t>
        </is>
      </c>
      <c r="E82" s="59" t="inlineStr">
        <is>
          <t>Chỉ hiển thị trên màn hình Mobile/Tablet (@media max-width: 849px), ẩn hoàn toàn trên Desktop. Thêm padding-bottom 65-70px cho body/footer trên mobile để thanh cố định không che khuất nội dung website</t>
        </is>
      </c>
      <c r="F82" s="58" t="inlineStr">
        <is>
          <t>Dễ</t>
        </is>
      </c>
      <c r="G82" t="inlineStr">
        <is>
          <t>100% Hoàn thành</t>
        </is>
      </c>
    </row>
    <row r="83">
      <c r="A83" s="67" t="n">
        <v>5</v>
      </c>
      <c r="B83" s="105" t="inlineStr">
        <is>
          <t>Kiểm Thử Trải Nghiệm Touch &amp; Tối Ưu Tương Thích iOS/Android</t>
        </is>
      </c>
      <c r="C83" s="58" t="inlineStr">
        <is>
          <t>QA Mobile Testing &amp; CSS</t>
        </is>
      </c>
      <c r="D83" s="104" t="inlineStr">
        <is>
          <t>flatsome-child/style.css</t>
        </is>
      </c>
      <c r="E83" s="59" t="inlineStr">
        <is>
          <t>Hỗ trợ dải an toàn iPhone (env(safe-area-inset-bottom)), kiểm thử cảm ứng bấm mượt mà, phản hồi tap nhanh chóng, không bị lag hay xung đột với thanh header sticky</t>
        </is>
      </c>
      <c r="F83" s="58" t="inlineStr">
        <is>
          <t>Trung bình</t>
        </is>
      </c>
      <c r="G83" t="inlineStr">
        <is>
          <t>100% Hoàn thành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2026-09-07T03:09:16Z</dcterms:created>
  <dcterms:modified xmlns:dcterms="http://purl.org/dc/terms/" xmlns:xsi="http://www.w3.org/2001/XMLSchema-instance" xsi:type="dcterms:W3CDTF">2026-09-09T09:54:00Z</dcterms:modified>
</cp:coreProperties>
</file>