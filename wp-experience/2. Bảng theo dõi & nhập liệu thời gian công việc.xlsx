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hật Ký Thời Gian" sheetId="1" state="visible" r:id="rId1"/>
    <sheet xmlns:r="http://schemas.openxmlformats.org/officeDocument/2006/relationships" name="Quy Trình Xây Dựng Task" sheetId="2" state="visible" r:id="rId2"/>
  </sheets>
  <definedNames/>
  <calcPr calcId="124519" fullCalcOnLoad="1"/>
</workbook>
</file>

<file path=xl/styles.xml><?xml version="1.0" encoding="utf-8"?>
<styleSheet xmlns="http://schemas.openxmlformats.org/spreadsheetml/2006/main">
  <numFmts count="0"/>
  <fonts count="32">
    <font>
      <name val="Calibri"/>
      <family val="2"/>
      <color theme="1"/>
      <sz val="11"/>
      <scheme val="minor"/>
    </font>
    <font>
      <name val="Segoe UI"/>
      <b val="1"/>
      <color rgb="001B5B65"/>
      <sz val="16"/>
    </font>
    <font>
      <name val="Segoe UI"/>
      <i val="1"/>
      <color rgb="00666666"/>
      <sz val="10"/>
    </font>
    <font>
      <name val="Segoe UI"/>
      <b val="1"/>
      <color rgb="00FFFFFF"/>
      <sz val="11"/>
    </font>
    <font>
      <name val="Segoe UI"/>
      <sz val="10"/>
    </font>
    <font>
      <name val="Segoe UI"/>
      <b val="1"/>
      <sz val="10"/>
    </font>
    <font>
      <name val="Segoe UI"/>
      <b val="1"/>
      <color rgb="001B5B65"/>
      <sz val="11"/>
    </font>
    <font>
      <name val="Segoe UI"/>
      <b val="1"/>
      <color rgb="00065F46"/>
      <sz val="10"/>
    </font>
    <font>
      <name val="Arial"/>
      <b val="1"/>
      <color rgb="00065F46"/>
      <sz val="10"/>
    </font>
    <font>
      <name val="Arial"/>
      <sz val="10"/>
    </font>
    <font>
      <name val="Arial"/>
      <b val="1"/>
      <color rgb="0092400E"/>
      <sz val="10"/>
    </font>
    <font>
      <name val="Segoe UI"/>
      <b val="1"/>
      <color rgb="001B5B65"/>
      <sz val="15"/>
    </font>
    <font>
      <name val="Segoe UI"/>
      <i val="1"/>
      <color rgb="00555555"/>
      <sz val="10"/>
    </font>
    <font>
      <name val="Segoe UI"/>
      <b val="1"/>
      <color rgb="001B5B65"/>
      <sz val="12"/>
    </font>
    <font>
      <name val="Segoe UI"/>
      <b val="1"/>
      <color rgb="00111111"/>
      <sz val="10"/>
    </font>
    <font>
      <name val="Segoe UI"/>
      <color rgb="00222222"/>
      <sz val="10"/>
    </font>
    <font>
      <name val="Segoe UI"/>
      <b val="1"/>
      <color rgb="0016A34A"/>
      <sz val="10"/>
    </font>
    <font>
      <name val="Segoe UI"/>
      <b val="1"/>
      <color rgb="00D97706"/>
      <sz val="10"/>
    </font>
    <font>
      <name val="Segoe UI"/>
      <b val="1"/>
      <color rgb="00DC2626"/>
      <sz val="10"/>
    </font>
    <font>
      <name val="Calibri"/>
      <b val="1"/>
      <color rgb="00B45309"/>
      <sz val="11"/>
    </font>
    <font>
      <name val="Calibri"/>
      <color rgb="00000000"/>
      <sz val="11"/>
    </font>
    <font>
      <name val="Calibri"/>
      <b val="1"/>
      <color rgb="0016A34A"/>
      <sz val="11"/>
    </font>
    <font>
      <name val="Calibri"/>
      <b val="1"/>
      <sz val="11"/>
    </font>
    <font>
      <name val="Segoe UI"/>
      <b val="1"/>
      <color rgb="001E293B"/>
      <sz val="11"/>
    </font>
    <font>
      <name val="Calibri"/>
      <b val="1"/>
      <color rgb="000F172A"/>
      <sz val="10"/>
    </font>
    <font>
      <name val="Calibri"/>
      <color rgb="001E293B"/>
      <sz val="10"/>
    </font>
    <font>
      <name val="Calibri"/>
      <b val="1"/>
      <color rgb="0016A34A"/>
      <sz val="10"/>
    </font>
    <font>
      <name val="Calibri"/>
      <b val="1"/>
      <color rgb="00991B1B"/>
      <sz val="11"/>
    </font>
    <font>
      <name val="Calibri"/>
      <b val="1"/>
      <color rgb="001E293B"/>
      <sz val="10"/>
    </font>
    <font>
      <name val="Calibri"/>
      <b val="1"/>
      <color rgb="00D97706"/>
      <sz val="11"/>
    </font>
    <font>
      <name val="Calibri"/>
      <b val="1"/>
      <color rgb="004B5563"/>
      <sz val="11"/>
    </font>
    <font>
      <name val="Calibri"/>
      <b val="1"/>
      <color rgb="004B5563"/>
      <sz val="10"/>
    </font>
  </fonts>
  <fills count="16">
    <fill>
      <patternFill/>
    </fill>
    <fill>
      <patternFill patternType="gray125"/>
    </fill>
    <fill>
      <patternFill patternType="solid">
        <fgColor rgb="001B5B65"/>
        <bgColor rgb="001B5B65"/>
      </patternFill>
    </fill>
    <fill>
      <patternFill patternType="solid">
        <fgColor rgb="00FFFFFF"/>
        <bgColor rgb="00FFFFFF"/>
      </patternFill>
    </fill>
    <fill>
      <patternFill patternType="solid">
        <fgColor rgb="00F8FAFC"/>
        <bgColor rgb="00F8FAFC"/>
      </patternFill>
    </fill>
    <fill>
      <patternFill patternType="solid">
        <fgColor rgb="00E5F6F8"/>
        <bgColor rgb="00E5F6F8"/>
      </patternFill>
    </fill>
    <fill>
      <patternFill patternType="solid">
        <fgColor rgb="00D1FAE5"/>
        <bgColor rgb="00D1FAE5"/>
      </patternFill>
    </fill>
    <fill>
      <patternFill patternType="solid">
        <fgColor rgb="00FEF3C7"/>
        <bgColor rgb="00FEF3C7"/>
      </patternFill>
    </fill>
    <fill>
      <patternFill patternType="solid">
        <fgColor rgb="00FFF3CD"/>
        <bgColor rgb="00FFF3CD"/>
      </patternFill>
    </fill>
    <fill>
      <patternFill patternType="solid">
        <fgColor rgb="FFF0FDF4"/>
        <bgColor rgb="FFF0FDF4"/>
      </patternFill>
    </fill>
    <fill>
      <patternFill patternType="solid">
        <fgColor rgb="FFE0E7FF"/>
        <bgColor rgb="FFE0E7FF"/>
      </patternFill>
    </fill>
    <fill>
      <patternFill patternType="solid">
        <fgColor rgb="FFF1F5F9"/>
        <bgColor rgb="FFF1F5F9"/>
      </patternFill>
    </fill>
    <fill>
      <patternFill patternType="solid">
        <fgColor rgb="FFFEE2E2"/>
        <bgColor rgb="FFFEE2E2"/>
      </patternFill>
    </fill>
    <fill>
      <patternFill patternType="solid">
        <fgColor rgb="FFFEF3C7"/>
        <bgColor rgb="FFFEF3C7"/>
      </patternFill>
    </fill>
    <fill>
      <patternFill patternType="solid">
        <fgColor rgb="FFFFFBEB"/>
        <bgColor rgb="FFFFFBEB"/>
      </patternFill>
    </fill>
    <fill>
      <patternFill patternType="solid">
        <fgColor rgb="FFF3F4F6"/>
        <bgColor rgb="FFF3F4F6"/>
      </patternFill>
    </fill>
  </fills>
  <borders count="14">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style="thin">
        <color rgb="00D1D5DB"/>
      </left>
      <right style="thin">
        <color rgb="00D1D5DB"/>
      </right>
      <top style="thin">
        <color rgb="00D1D5DB"/>
      </top>
      <bottom style="thin">
        <color rgb="00D1D5DB"/>
      </bottom>
    </border>
    <border>
      <left style="thin">
        <color rgb="FFD1D5DB"/>
      </left>
      <right style="thin">
        <color rgb="FFD1D5DB"/>
      </right>
      <top style="thin">
        <color rgb="FFD1D5DB"/>
      </top>
      <bottom style="thin">
        <color rgb="FFD1D5DB"/>
      </bottom>
    </border>
    <border>
      <left style="thin">
        <color rgb="FFCBD5E1"/>
      </left>
      <right style="thin">
        <color rgb="FFCBD5E1"/>
      </right>
      <top style="thin">
        <color rgb="FFCBD5E1"/>
      </top>
      <bottom style="thin">
        <color rgb="FFCBD5E1"/>
      </bottom>
    </border>
    <border>
      <left style="thin">
        <color rgb="FFCBD5E1"/>
      </left>
      <right style="thin">
        <color rgb="FFCBD5E1"/>
      </right>
      <top style="thin">
        <color rgb="FFCBD5E1"/>
      </top>
      <bottom style="double">
        <color rgb="FF0F172A"/>
      </bottom>
    </border>
    <border>
      <left/>
      <right/>
      <top style="thin">
        <color rgb="FFCBD5E1"/>
      </top>
      <bottom/>
      <diagonal/>
    </border>
    <border>
      <left/>
      <right style="thin">
        <color rgb="FFCBD5E1"/>
      </right>
      <top style="thin">
        <color rgb="FFCBD5E1"/>
      </top>
      <bottom/>
      <diagonal/>
    </border>
    <border>
      <left/>
      <right/>
      <top style="thin">
        <color rgb="FFCBD5E1"/>
      </top>
      <bottom style="double">
        <color rgb="FF0F172A"/>
      </bottom>
      <diagonal/>
    </border>
    <border>
      <left/>
      <right style="thin">
        <color rgb="FFCBD5E1"/>
      </right>
      <top style="thin">
        <color rgb="FFCBD5E1"/>
      </top>
      <bottom style="double">
        <color rgb="FF0F172A"/>
      </bottom>
      <diagonal/>
    </border>
  </borders>
  <cellStyleXfs count="1">
    <xf numFmtId="0" fontId="0" fillId="0" borderId="0"/>
  </cellStyleXfs>
  <cellXfs count="84">
    <xf numFmtId="0" fontId="0"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3" borderId="1" applyAlignment="1" pivotButton="0" quotePrefix="0" xfId="0">
      <alignment horizontal="left" vertical="center"/>
    </xf>
    <xf numFmtId="2" fontId="5" fillId="3" borderId="1" applyAlignment="1" pivotButton="0" quotePrefix="0" xfId="0">
      <alignment horizontal="center" vertical="center"/>
    </xf>
    <xf numFmtId="0" fontId="4" fillId="4" borderId="1" applyAlignment="1" pivotButton="0" quotePrefix="0" xfId="0">
      <alignment horizontal="center" vertical="center"/>
    </xf>
    <xf numFmtId="0" fontId="4" fillId="4" borderId="1" applyAlignment="1" pivotButton="0" quotePrefix="0" xfId="0">
      <alignment horizontal="left" vertical="center"/>
    </xf>
    <xf numFmtId="2" fontId="5" fillId="4" borderId="1" applyAlignment="1" pivotButton="0" quotePrefix="0" xfId="0">
      <alignment horizontal="center" vertical="center"/>
    </xf>
    <xf numFmtId="0" fontId="2" fillId="0" borderId="1"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2" fontId="0" fillId="0" borderId="1" applyAlignment="1" pivotButton="0" quotePrefix="0" xfId="0">
      <alignment horizontal="center" vertical="center"/>
    </xf>
    <xf numFmtId="0" fontId="5" fillId="5" borderId="1" applyAlignment="1" pivotButton="0" quotePrefix="0" xfId="0">
      <alignment horizontal="right" vertical="center"/>
    </xf>
    <xf numFmtId="0" fontId="0" fillId="5" borderId="1" pivotButton="0" quotePrefix="0" xfId="0"/>
    <xf numFmtId="2" fontId="6" fillId="5" borderId="1" applyAlignment="1" pivotButton="0" quotePrefix="0" xfId="0">
      <alignment horizontal="center" vertical="center"/>
    </xf>
    <xf numFmtId="0" fontId="7" fillId="6" borderId="1" applyAlignment="1" pivotButton="0" quotePrefix="0" xfId="0">
      <alignment horizontal="center" vertical="center"/>
    </xf>
    <xf numFmtId="0" fontId="0" fillId="0" borderId="4" pivotButton="0" quotePrefix="0" xfId="0"/>
    <xf numFmtId="0" fontId="0" fillId="0" borderId="5" pivotButton="0" quotePrefix="0" xfId="0"/>
    <xf numFmtId="0" fontId="4" fillId="3" borderId="6" applyAlignment="1" pivotButton="0" quotePrefix="0" xfId="0">
      <alignment horizontal="center" vertical="center"/>
    </xf>
    <xf numFmtId="0" fontId="8" fillId="6" borderId="6" applyAlignment="1" pivotButton="0" quotePrefix="0" xfId="0">
      <alignment horizontal="center" vertical="center"/>
    </xf>
    <xf numFmtId="0" fontId="4" fillId="3" borderId="6" applyAlignment="1" pivotButton="0" quotePrefix="0" xfId="0">
      <alignment horizontal="left" vertical="center"/>
    </xf>
    <xf numFmtId="2" fontId="5" fillId="3" borderId="6" applyAlignment="1" pivotButton="0" quotePrefix="0" xfId="0">
      <alignment horizontal="center" vertical="center"/>
    </xf>
    <xf numFmtId="0" fontId="4" fillId="4" borderId="6" applyAlignment="1" pivotButton="0" quotePrefix="0" xfId="0">
      <alignment horizontal="center" vertical="center"/>
    </xf>
    <xf numFmtId="0" fontId="4" fillId="4" borderId="6" applyAlignment="1" pivotButton="0" quotePrefix="0" xfId="0">
      <alignment horizontal="left" vertical="center"/>
    </xf>
    <xf numFmtId="0" fontId="2" fillId="0" borderId="6" applyAlignment="1" pivotButton="0" quotePrefix="0" xfId="0">
      <alignment horizontal="center" vertical="center"/>
    </xf>
    <xf numFmtId="0" fontId="0" fillId="0" borderId="6" applyAlignment="1" pivotButton="0" quotePrefix="0" xfId="0">
      <alignment horizontal="center" vertical="center"/>
    </xf>
    <xf numFmtId="0" fontId="9" fillId="0" borderId="6" applyAlignment="1" pivotButton="0" quotePrefix="0" xfId="0">
      <alignment horizontal="center" vertical="center"/>
    </xf>
    <xf numFmtId="0" fontId="0" fillId="0" borderId="6" applyAlignment="1" pivotButton="0" quotePrefix="0" xfId="0">
      <alignment horizontal="left" vertical="center"/>
    </xf>
    <xf numFmtId="2" fontId="0" fillId="0" borderId="6" applyAlignment="1" pivotButton="0" quotePrefix="0" xfId="0">
      <alignment horizontal="center" vertical="center"/>
    </xf>
    <xf numFmtId="0" fontId="10" fillId="7" borderId="6" applyAlignment="1" pivotButton="0" quotePrefix="0" xfId="0">
      <alignment horizontal="center" vertical="center"/>
    </xf>
    <xf numFmtId="0" fontId="11" fillId="0" borderId="0" pivotButton="0" quotePrefix="0" xfId="0"/>
    <xf numFmtId="0" fontId="12" fillId="0" borderId="0" pivotButton="0" quotePrefix="0" xfId="0"/>
    <xf numFmtId="0" fontId="13" fillId="0" borderId="0" pivotButton="0" quotePrefix="0" xfId="0"/>
    <xf numFmtId="0" fontId="14" fillId="4" borderId="1" applyAlignment="1" pivotButton="0" quotePrefix="0" xfId="0">
      <alignment horizontal="center" vertical="center" wrapText="1"/>
    </xf>
    <xf numFmtId="0" fontId="14" fillId="4" borderId="1" applyAlignment="1" pivotButton="0" quotePrefix="0" xfId="0">
      <alignment horizontal="left" vertical="center" wrapText="1"/>
    </xf>
    <xf numFmtId="0" fontId="15" fillId="4" borderId="1" applyAlignment="1" pivotButton="0" quotePrefix="0" xfId="0">
      <alignment horizontal="left"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5"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5" fillId="4" borderId="1" applyAlignment="1" pivotButton="0" quotePrefix="0" xfId="0">
      <alignment horizontal="center" vertical="center" wrapText="1"/>
    </xf>
    <xf numFmtId="0" fontId="16" fillId="4"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4" borderId="1" applyAlignment="1" pivotButton="0" quotePrefix="0" xfId="0">
      <alignment horizontal="center" vertical="center" wrapText="1"/>
    </xf>
    <xf numFmtId="0" fontId="18" fillId="0" borderId="1" applyAlignment="1" pivotButton="0" quotePrefix="0" xfId="0">
      <alignment horizontal="center" vertical="center" wrapText="1"/>
    </xf>
    <xf numFmtId="0" fontId="17" fillId="4" borderId="1" applyAlignment="1" pivotButton="0" quotePrefix="0" xfId="0">
      <alignment horizontal="center" vertical="center" wrapText="1"/>
    </xf>
    <xf numFmtId="0" fontId="19" fillId="8" borderId="1" applyAlignment="1" pivotButton="0" quotePrefix="0" xfId="0">
      <alignment horizontal="center" vertical="center"/>
    </xf>
    <xf numFmtId="0" fontId="20" fillId="0" borderId="1" applyAlignment="1" pivotButton="0" quotePrefix="0" xfId="0">
      <alignment horizontal="center" vertical="center"/>
    </xf>
    <xf numFmtId="0" fontId="0" fillId="0" borderId="1" applyAlignment="1" pivotButton="0" quotePrefix="0" xfId="0">
      <alignment horizontal="left" vertical="center" wrapText="1"/>
    </xf>
    <xf numFmtId="0" fontId="21" fillId="0" borderId="1" applyAlignment="1" pivotButton="0" quotePrefix="0" xfId="0">
      <alignment horizontal="center" vertical="center"/>
    </xf>
    <xf numFmtId="0" fontId="22" fillId="0" borderId="7" applyAlignment="1" pivotButton="0" quotePrefix="0" xfId="0">
      <alignment horizontal="center" vertical="center"/>
    </xf>
    <xf numFmtId="0" fontId="21" fillId="9" borderId="7" applyAlignment="1" pivotButton="0" quotePrefix="0" xfId="0">
      <alignment horizontal="center" vertical="center"/>
    </xf>
    <xf numFmtId="0" fontId="23" fillId="10" borderId="0" applyAlignment="1" pivotButton="0" quotePrefix="0" xfId="0">
      <alignment horizontal="left" vertical="center" wrapText="1"/>
    </xf>
    <xf numFmtId="0" fontId="24" fillId="11" borderId="8" applyAlignment="1" pivotButton="0" quotePrefix="0" xfId="0">
      <alignment horizontal="center" vertical="center"/>
    </xf>
    <xf numFmtId="0" fontId="24" fillId="11" borderId="8" applyAlignment="1" pivotButton="0" quotePrefix="0" xfId="0">
      <alignment horizontal="left" vertical="center" wrapText="1"/>
    </xf>
    <xf numFmtId="0" fontId="25" fillId="0" borderId="8" applyAlignment="1" pivotButton="0" quotePrefix="0" xfId="0">
      <alignment horizontal="center" vertical="center"/>
    </xf>
    <xf numFmtId="0" fontId="25" fillId="0" borderId="8" applyAlignment="1" pivotButton="0" quotePrefix="0" xfId="0">
      <alignment horizontal="left" vertical="center" wrapText="1"/>
    </xf>
    <xf numFmtId="0" fontId="26" fillId="9" borderId="8" applyAlignment="1" pivotButton="0" quotePrefix="0" xfId="0">
      <alignment horizontal="center" vertical="center"/>
    </xf>
    <xf numFmtId="0" fontId="27" fillId="12" borderId="9" applyAlignment="1" pivotButton="0" quotePrefix="0" xfId="0">
      <alignment horizontal="right" vertical="center"/>
    </xf>
    <xf numFmtId="0" fontId="0" fillId="0" borderId="9" pivotButton="0" quotePrefix="0" xfId="0"/>
    <xf numFmtId="0" fontId="27" fillId="12" borderId="9" applyAlignment="1" pivotButton="0" quotePrefix="0" xfId="0">
      <alignment horizontal="center" vertical="center"/>
    </xf>
    <xf numFmtId="0" fontId="26" fillId="12" borderId="9" applyAlignment="1" pivotButton="0" quotePrefix="0" xfId="0">
      <alignment horizontal="center" vertical="center"/>
    </xf>
    <xf numFmtId="0" fontId="0" fillId="12" borderId="9" pivotButton="0" quotePrefix="0" xfId="0"/>
    <xf numFmtId="0" fontId="23" fillId="13" borderId="0" applyAlignment="1" pivotButton="0" quotePrefix="0" xfId="0">
      <alignment horizontal="left" vertical="center" wrapText="1"/>
    </xf>
    <xf numFmtId="0" fontId="28" fillId="0" borderId="8" applyAlignment="1" pivotButton="0" quotePrefix="0" xfId="0">
      <alignment horizontal="center" vertical="center"/>
    </xf>
    <xf numFmtId="0" fontId="28" fillId="12" borderId="9" pivotButton="0" quotePrefix="0" xfId="0"/>
    <xf numFmtId="0" fontId="2" fillId="0" borderId="7" applyAlignment="1" pivotButton="0" quotePrefix="0" xfId="0">
      <alignment horizontal="center" vertical="center"/>
    </xf>
    <xf numFmtId="0" fontId="0" fillId="0" borderId="7" applyAlignment="1" pivotButton="0" quotePrefix="0" xfId="0">
      <alignment horizontal="center" vertical="center"/>
    </xf>
    <xf numFmtId="0" fontId="0" fillId="0" borderId="7" applyAlignment="1" pivotButton="0" quotePrefix="0" xfId="0">
      <alignment horizontal="left" vertical="center" wrapText="1"/>
    </xf>
    <xf numFmtId="2" fontId="0" fillId="0" borderId="7" applyAlignment="1" pivotButton="0" quotePrefix="0" xfId="0">
      <alignment horizontal="center" vertical="center"/>
    </xf>
    <xf numFmtId="0" fontId="29" fillId="14" borderId="7" applyAlignment="1" pivotButton="0" quotePrefix="0" xfId="0">
      <alignment horizontal="center" vertical="center"/>
    </xf>
    <xf numFmtId="0" fontId="30" fillId="15" borderId="7" applyAlignment="1" pivotButton="0" quotePrefix="0" xfId="0">
      <alignment horizontal="center" vertical="center"/>
    </xf>
    <xf numFmtId="0" fontId="0" fillId="0" borderId="12" pivotButton="0" quotePrefix="0" xfId="0"/>
    <xf numFmtId="0" fontId="0" fillId="0" borderId="13" pivotButton="0" quotePrefix="0" xfId="0"/>
    <xf numFmtId="0" fontId="23" fillId="10" borderId="0" pivotButton="0" quotePrefix="0" xfId="0"/>
    <xf numFmtId="0" fontId="24" fillId="11" borderId="7" applyAlignment="1" pivotButton="0" quotePrefix="0" xfId="0">
      <alignment horizontal="center" vertical="center"/>
    </xf>
    <xf numFmtId="0" fontId="25" fillId="0" borderId="7" applyAlignment="1" pivotButton="0" quotePrefix="0" xfId="0">
      <alignment horizontal="center" vertical="center"/>
    </xf>
    <xf numFmtId="0" fontId="25" fillId="0" borderId="7" applyAlignment="1" pivotButton="0" quotePrefix="0" xfId="0">
      <alignment horizontal="left" vertical="center" wrapText="1"/>
    </xf>
    <xf numFmtId="0" fontId="30" fillId="0" borderId="7" applyAlignment="1" pivotButton="0" quotePrefix="0" xfId="0">
      <alignment horizontal="center" vertical="center"/>
    </xf>
    <xf numFmtId="0" fontId="23" fillId="13" borderId="0" pivotButton="0" quotePrefix="0" xfId="0"/>
    <xf numFmtId="0" fontId="31" fillId="15" borderId="7" applyAlignment="1" pivotButton="0" quotePrefix="0" xfId="0">
      <alignment horizontal="center" vertical="center"/>
    </xf>
  </cellXfs>
  <cellStyles count="1">
    <cellStyle name="Normal" xfId="0" builtinId="0" hidden="0"/>
  </cellStyles>
  <dxfs count="1">
    <dxf>
      <font>
        <name val="Segoe UI"/>
        <b val="1"/>
        <color rgb="00065F46"/>
        <sz val="10"/>
      </font>
      <fill>
        <patternFill patternType="solid">
          <fgColor rgb="00D1FAE5"/>
          <b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4"/>
  <sheetViews>
    <sheetView showGridLines="1" workbookViewId="0">
      <selection activeCell="A1" sqref="A1"/>
    </sheetView>
  </sheetViews>
  <sheetFormatPr baseColWidth="8" defaultRowHeight="15"/>
  <cols>
    <col width="6" customWidth="1" min="1" max="1"/>
    <col width="14" customWidth="1" min="2" max="2"/>
    <col width="12" customWidth="1" min="3" max="3"/>
    <col width="46" customWidth="1" min="4" max="4"/>
    <col width="16" customWidth="1" min="5" max="5"/>
    <col width="11" customWidth="1" min="6" max="6"/>
    <col width="11" customWidth="1" min="7" max="7"/>
    <col width="15" customWidth="1" min="8" max="8"/>
    <col width="15" customWidth="1" min="9" max="9"/>
    <col width="13" customWidth="1" min="10" max="10"/>
    <col width="42" customWidth="1" min="11" max="11"/>
  </cols>
  <sheetData>
    <row r="1" ht="35" customHeight="1">
      <c r="A1" s="1" t="inlineStr">
        <is>
          <t>BẢNG THEO DÕI VÀ NHẬP LIỆU THỜI GIAN CÔNG VIỆC</t>
        </is>
      </c>
    </row>
    <row r="2" ht="20" customHeight="1">
      <c r="A2" s="2" t="inlineStr">
        <is>
          <t>Dự án: GOBIKE (Xe Đạp Trợ Lực Điện) | Nền tảng: WordPress 6.x + Flatsome Theme (WooCommerce)</t>
        </is>
      </c>
    </row>
    <row r="4" ht="28" customHeight="1">
      <c r="A4" s="3" t="inlineStr">
        <is>
          <t>STT</t>
        </is>
      </c>
      <c r="B4" s="3" t="inlineStr">
        <is>
          <t>Ngày</t>
        </is>
      </c>
      <c r="C4" s="3" t="inlineStr">
        <is>
          <t>Mã Task</t>
        </is>
      </c>
      <c r="D4" s="3" t="inlineStr">
        <is>
          <t>Nội Dung Công Việc Chi Tiết</t>
        </is>
      </c>
      <c r="E4" s="3" t="inlineStr">
        <is>
          <t>Người Thực Hiện</t>
        </is>
      </c>
      <c r="F4" s="3" t="inlineStr">
        <is>
          <t>Bắt Đầu</t>
        </is>
      </c>
      <c r="G4" s="3" t="inlineStr">
        <is>
          <t>Kết Thúc</t>
        </is>
      </c>
      <c r="H4" s="3" t="inlineStr">
        <is>
          <t>Tổng Giờ (h)</t>
        </is>
      </c>
      <c r="I4" s="3" t="inlineStr">
        <is>
          <t>Trạng Thái</t>
        </is>
      </c>
      <c r="J4" s="3" t="inlineStr">
        <is>
          <t>Độ Ưu Tiên</t>
        </is>
      </c>
      <c r="K4" s="3" t="inlineStr">
        <is>
          <t>Ghi Chú / Giải Pháp Kỹ Thuật</t>
        </is>
      </c>
    </row>
    <row r="5" ht="24" customHeight="1">
      <c r="A5" s="4" t="n">
        <v>1</v>
      </c>
      <c r="B5" s="4" t="inlineStr">
        <is>
          <t>2026-09-07</t>
        </is>
      </c>
      <c r="C5" s="17" t="inlineStr">
        <is>
          <t>Task 1</t>
        </is>
      </c>
      <c r="D5" s="5" t="inlineStr">
        <is>
          <t>Khởi tạo Taxonomy danh mục xe &amp; Thuộc tính kỹ thuật (Pin, Động cơ, Quãng đường, Tốc độ)</t>
        </is>
      </c>
      <c r="E5" s="4" t="inlineStr">
        <is>
          <t>Developer</t>
        </is>
      </c>
      <c r="F5" s="4" t="inlineStr">
        <is>
          <t>08:00</t>
        </is>
      </c>
      <c r="G5" s="4" t="inlineStr">
        <is>
          <t>09:00</t>
        </is>
      </c>
      <c r="H5" s="6">
        <f>IF(AND(F5&lt;&gt;"",G5&lt;&gt;""),(G5-F5)*24,"")</f>
        <v/>
      </c>
      <c r="I5" s="17" t="inlineStr">
        <is>
          <t>Hoàn thành</t>
        </is>
      </c>
      <c r="J5" s="4" t="inlineStr">
        <is>
          <t>Cao</t>
        </is>
      </c>
      <c r="K5" s="5" t="inlineStr">
        <is>
          <t>WooCommerce Attributes (pa_pin, pa_dong-co, pa_quang-duong) + Danh mục xe</t>
        </is>
      </c>
    </row>
    <row r="6" ht="24" customHeight="1">
      <c r="A6" s="7" t="n">
        <v>2</v>
      </c>
      <c r="B6" s="7" t="inlineStr">
        <is>
          <t>2026-09-07</t>
        </is>
      </c>
      <c r="C6" s="17" t="inlineStr">
        <is>
          <t>Task 2</t>
        </is>
      </c>
      <c r="D6" s="8" t="inlineStr">
        <is>
          <t>Cấu hình Header đa tầng (Top Bar thông báo đỏ + Main Header đen + Search Live + Bộ icon tiện ích)</t>
        </is>
      </c>
      <c r="E6" s="7" t="inlineStr">
        <is>
          <t>Developer</t>
        </is>
      </c>
      <c r="F6" s="7" t="inlineStr">
        <is>
          <t>09:00</t>
        </is>
      </c>
      <c r="G6" s="7" t="inlineStr">
        <is>
          <t>10:30</t>
        </is>
      </c>
      <c r="H6" s="9">
        <f>IF(AND(F6&lt;&gt;"",G6&lt;&gt;""),(G6-F6)*24,"")</f>
        <v/>
      </c>
      <c r="I6" s="17" t="inlineStr">
        <is>
          <t>Hoàn thành</t>
        </is>
      </c>
      <c r="J6" s="7" t="inlineStr">
        <is>
          <t>Cao</t>
        </is>
      </c>
      <c r="K6" s="8" t="inlineStr">
        <is>
          <t>Flatsome Header Builder tùy biến màu sắc và bố cục</t>
        </is>
      </c>
    </row>
    <row r="7" ht="24" customHeight="1">
      <c r="A7" s="20" t="n">
        <v>3</v>
      </c>
      <c r="B7" s="20" t="inlineStr">
        <is>
          <t>2026-09-07</t>
        </is>
      </c>
      <c r="C7" s="21" t="inlineStr">
        <is>
          <t>Task 3</t>
        </is>
      </c>
      <c r="D7" s="22" t="inlineStr">
        <is>
          <t>Xây dựng Navigation Menu đỏ chính &amp; Mega Menu danh mục sản phẩm</t>
        </is>
      </c>
      <c r="E7" s="20" t="inlineStr">
        <is>
          <t>Developer</t>
        </is>
      </c>
      <c r="F7" s="20" t="inlineStr">
        <is>
          <t>10:30</t>
        </is>
      </c>
      <c r="G7" s="20" t="inlineStr">
        <is>
          <t>11:30</t>
        </is>
      </c>
      <c r="H7" s="23">
        <f>IF(AND(F7&lt;&gt;"",G7&lt;&gt;""),(G7-F7)*24,"")</f>
        <v/>
      </c>
      <c r="I7" s="21" t="inlineStr">
        <is>
          <t>Hoàn thành</t>
        </is>
      </c>
      <c r="J7" s="20" t="inlineStr">
        <is>
          <t>Cao</t>
        </is>
      </c>
      <c r="K7" s="5" t="inlineStr">
        <is>
          <t>Menu màu đỏ #d0021b, liên kết danh mục xe trợ lực điện</t>
        </is>
      </c>
    </row>
    <row r="8" ht="24" customHeight="1">
      <c r="A8" s="24" t="n">
        <v>4</v>
      </c>
      <c r="B8" s="24" t="inlineStr">
        <is>
          <t>2026-09-07</t>
        </is>
      </c>
      <c r="C8" s="21" t="inlineStr">
        <is>
          <t>Task 4</t>
        </is>
      </c>
      <c r="D8" s="25" t="inlineStr">
        <is>
          <t>Xây dựng Hero Section (Slider banner khuyến mãi + Widget tin tức + Banner 1H giao nhanh)</t>
        </is>
      </c>
      <c r="E8" s="24" t="inlineStr">
        <is>
          <t>Developer</t>
        </is>
      </c>
      <c r="F8" s="24" t="inlineStr">
        <is>
          <t>11:30</t>
        </is>
      </c>
      <c r="G8" s="24" t="inlineStr">
        <is>
          <t>12:30</t>
        </is>
      </c>
      <c r="H8" s="24">
        <f>IF(AND(F8&lt;&gt;"",G8&lt;&gt;""),(G8-F8)*24,"")</f>
        <v/>
      </c>
      <c r="I8" s="21" t="inlineStr">
        <is>
          <t>Hoàn thành</t>
        </is>
      </c>
      <c r="J8" s="24" t="inlineStr">
        <is>
          <t>Cao</t>
        </is>
      </c>
      <c r="K8" s="8" t="inlineStr">
        <is>
          <t>UX Builder chia cột 8/12 (Slider) và 4/12 (Tin tức &amp; Banner)</t>
        </is>
      </c>
    </row>
    <row r="9" ht="22" customHeight="1">
      <c r="A9" s="26" t="n">
        <v>5</v>
      </c>
      <c r="B9" s="27" t="inlineStr">
        <is>
          <t>2026-09-07</t>
        </is>
      </c>
      <c r="C9" s="21" t="inlineStr">
        <is>
          <t>Task 5</t>
        </is>
      </c>
      <c r="D9" s="29" t="inlineStr">
        <is>
          <t>Xây dựng Section 'Giờ Vàng - Giá Cực Sốc (19h-21h)' (Flash Sale tabs + Progress bar)</t>
        </is>
      </c>
      <c r="E9" s="27" t="inlineStr">
        <is>
          <t>Developer</t>
        </is>
      </c>
      <c r="F9" s="27" t="inlineStr">
        <is>
          <t>13:30</t>
        </is>
      </c>
      <c r="G9" s="27" t="inlineStr">
        <is>
          <t>15:30</t>
        </is>
      </c>
      <c r="H9" s="30">
        <f>IF(AND(F9&lt;&gt;"",G9&lt;&gt;""),(G9-F9)*24,"")</f>
        <v/>
      </c>
      <c r="I9" s="21" t="inlineStr">
        <is>
          <t>Hoàn thành</t>
        </is>
      </c>
      <c r="J9" s="27" t="inlineStr">
        <is>
          <t>Cao</t>
        </is>
      </c>
      <c r="K9" s="12" t="inlineStr">
        <is>
          <t>Lưới 5 sản phẩm Flash sale kèm thanh đo tiến độ bán hàng</t>
        </is>
      </c>
    </row>
    <row r="10" ht="22" customHeight="1">
      <c r="A10" s="26" t="n">
        <v>6</v>
      </c>
      <c r="B10" s="27" t="inlineStr">
        <is>
          <t>2026-09-07</t>
        </is>
      </c>
      <c r="C10" s="27" t="inlineStr">
        <is>
          <t>Task 6</t>
        </is>
      </c>
      <c r="D10" s="29" t="inlineStr">
        <is>
          <t>Xây dựng 4 khối danh mục sản phẩm Trang Chủ (Shortcode tùy biến 5 cột: 1 Big Item 40% + 8 Small)</t>
        </is>
      </c>
      <c r="E10" s="27" t="inlineStr">
        <is>
          <t>Developer</t>
        </is>
      </c>
      <c r="F10" s="27" t="inlineStr">
        <is>
          <t>15:30</t>
        </is>
      </c>
      <c r="G10" s="27" t="inlineStr">
        <is>
          <t>17:00</t>
        </is>
      </c>
      <c r="H10" s="30">
        <f>IF(AND(F10&lt;&gt;"",G10&lt;&gt;""),(G10-F10)*24,"")</f>
        <v/>
      </c>
      <c r="I10" s="27" t="inlineStr">
        <is>
          <t>Hoàn thành</t>
        </is>
      </c>
      <c r="J10" s="27" t="inlineStr">
        <is>
          <t>Cao</t>
        </is>
      </c>
      <c r="K10" s="12" t="inlineStr">
        <is>
          <t>Shortcode [gobike_category_block] trong functions.php + CSS style.css</t>
        </is>
      </c>
    </row>
    <row r="11" ht="22" customHeight="1">
      <c r="A11" s="10" t="n">
        <v>7</v>
      </c>
      <c r="B11" s="11" t="inlineStr">
        <is>
          <t>2026-09-07</t>
        </is>
      </c>
      <c r="C11" s="11" t="inlineStr">
        <is>
          <t>Task 7</t>
        </is>
      </c>
      <c r="D11" s="12" t="inlineStr">
        <is>
          <t>Xây dựng Section Tin tức - Bài viết (Blog grid 4 cột)</t>
        </is>
      </c>
      <c r="E11" s="11" t="inlineStr">
        <is>
          <t>Developer</t>
        </is>
      </c>
      <c r="F11" s="11" t="inlineStr">
        <is>
          <t>17:00</t>
        </is>
      </c>
      <c r="G11" s="11" t="inlineStr">
        <is>
          <t>18:00</t>
        </is>
      </c>
      <c r="H11" s="13">
        <f>IF(AND(F11&lt;&gt;"",G11&lt;&gt;""),(G11-F11)*24,"")</f>
        <v/>
      </c>
      <c r="I11" s="11" t="inlineStr">
        <is>
          <t>Hoàn thành</t>
        </is>
      </c>
      <c r="J11" s="11" t="inlineStr">
        <is>
          <t>Trung bình</t>
        </is>
      </c>
      <c r="K11" s="12" t="inlineStr">
        <is>
          <t>UX Builder Blog Posts element (4 posts)</t>
        </is>
      </c>
    </row>
    <row r="12" ht="22" customHeight="1">
      <c r="A12" s="10" t="n">
        <v>8</v>
      </c>
      <c r="B12" s="11" t="inlineStr">
        <is>
          <t>2026-09-07</t>
        </is>
      </c>
      <c r="C12" s="11" t="inlineStr">
        <is>
          <t>Task 8</t>
        </is>
      </c>
      <c r="D12" s="12" t="inlineStr">
        <is>
          <t>Xây dựng Khối 4 Cam kết dịch vụ (Trust Badges)</t>
        </is>
      </c>
      <c r="E12" s="11" t="inlineStr">
        <is>
          <t>Developer</t>
        </is>
      </c>
      <c r="F12" s="11" t="inlineStr">
        <is>
          <t>18:00</t>
        </is>
      </c>
      <c r="G12" s="11" t="inlineStr">
        <is>
          <t>18:30</t>
        </is>
      </c>
      <c r="H12" s="13">
        <f>IF(AND(F12&lt;&gt;"",G12&lt;&gt;""),(G12-F12)*24,"")</f>
        <v/>
      </c>
      <c r="I12" s="11" t="inlineStr">
        <is>
          <t>Hoàn thành</t>
        </is>
      </c>
      <c r="J12" s="11" t="inlineStr">
        <is>
          <t>Trung bình</t>
        </is>
      </c>
      <c r="K12" s="12" t="inlineStr">
        <is>
          <t>17 Năm - Bảo hành 18T - Bảo dưỡng trọn đời - Giao 12h</t>
        </is>
      </c>
    </row>
    <row r="13" ht="22" customHeight="1">
      <c r="A13" s="10" t="n">
        <v>9</v>
      </c>
      <c r="B13" s="11" t="inlineStr">
        <is>
          <t>2026-09-07</t>
        </is>
      </c>
      <c r="C13" s="11" t="inlineStr">
        <is>
          <t>Task 9</t>
        </is>
      </c>
      <c r="D13" s="12" t="inlineStr">
        <is>
          <t>Xây dựng Footer 4 cột hoàn chỉnh (Showroom + Hotline + Chính sách + Fanpage/BCT)</t>
        </is>
      </c>
      <c r="E13" s="11" t="inlineStr">
        <is>
          <t>Developer</t>
        </is>
      </c>
      <c r="F13" s="11" t="inlineStr">
        <is>
          <t>19:30</t>
        </is>
      </c>
      <c r="G13" s="11" t="inlineStr">
        <is>
          <t>20:45</t>
        </is>
      </c>
      <c r="H13" s="13">
        <f>IF(AND(F13&lt;&gt;"",G13&lt;&gt;""),(G13-F13)*24,"")</f>
        <v/>
      </c>
      <c r="I13" s="11" t="inlineStr">
        <is>
          <t>Hoàn thành</t>
        </is>
      </c>
      <c r="J13" s="11" t="inlineStr">
        <is>
          <t>Cao</t>
        </is>
      </c>
      <c r="K13" s="12" t="inlineStr">
        <is>
          <t>Flatsome Footer Builder + Widgets + Form đăng ký nhận tin</t>
        </is>
      </c>
    </row>
    <row r="14" ht="22" customHeight="1">
      <c r="A14" s="10" t="n">
        <v>10</v>
      </c>
      <c r="B14" s="11" t="inlineStr">
        <is>
          <t>2026-09-07</t>
        </is>
      </c>
      <c r="C14" s="11" t="inlineStr">
        <is>
          <t>Task 10</t>
        </is>
      </c>
      <c r="D14" s="12" t="inlineStr">
        <is>
          <t>Kiểm thử hiển thị Responsive Trang Chủ (Mobile &amp; Tablet) &amp; Tinh chỉnh CSS</t>
        </is>
      </c>
      <c r="E14" s="11" t="inlineStr">
        <is>
          <t>Developer</t>
        </is>
      </c>
      <c r="F14" s="11" t="inlineStr">
        <is>
          <t>20:45</t>
        </is>
      </c>
      <c r="G14" s="11" t="inlineStr">
        <is>
          <t>21:45</t>
        </is>
      </c>
      <c r="H14" s="13">
        <f>IF(AND(F14&lt;&gt;"",G14&lt;&gt;""),(G14-F14)*24,"")</f>
        <v/>
      </c>
      <c r="I14" s="11" t="inlineStr">
        <is>
          <t>Hoàn thành</t>
        </is>
      </c>
      <c r="J14" s="11" t="inlineStr">
        <is>
          <t>Cao</t>
        </is>
      </c>
      <c r="K14" s="12" t="inlineStr">
        <is>
          <t>Media queries co giãn lưới sản phẩm và carousel mobile</t>
        </is>
      </c>
    </row>
    <row r="15" ht="22" customHeight="1">
      <c r="A15" s="10" t="n">
        <v>11</v>
      </c>
      <c r="B15" s="11" t="inlineStr">
        <is>
          <t>2026-09-07</t>
        </is>
      </c>
      <c r="C15" s="11" t="inlineStr">
        <is>
          <t>Task 11</t>
        </is>
      </c>
      <c r="D15" s="12" t="inlineStr">
        <is>
          <t>Tùy biến Breadcrumb điều hướng phân cấp (Trang chủ &gt; Tất cả sản phẩm / Danh mục)</t>
        </is>
      </c>
      <c r="E15" s="11" t="inlineStr">
        <is>
          <t>Developer</t>
        </is>
      </c>
      <c r="F15" s="11" t="inlineStr">
        <is>
          <t>16:00</t>
        </is>
      </c>
      <c r="G15" s="11" t="inlineStr">
        <is>
          <t>16:25</t>
        </is>
      </c>
      <c r="H15" s="13">
        <f>IF(AND(F15&lt;&gt;"",G15&lt;&gt;""),(G15-F15)*24,"")</f>
        <v/>
      </c>
      <c r="I15" s="11" t="inlineStr">
        <is>
          <t>Hoàn thành</t>
        </is>
      </c>
      <c r="J15" s="11" t="inlineStr">
        <is>
          <t>Trung bình</t>
        </is>
      </c>
      <c r="K15" s="12" t="inlineStr">
        <is>
          <t>Đã hiển thị chuẩn phân cấp Trang chủ / SẢN PHẨM tại đỉnh trang</t>
        </is>
      </c>
    </row>
    <row r="16" ht="22" customHeight="1">
      <c r="A16" s="10" t="n">
        <v>12</v>
      </c>
      <c r="B16" s="11" t="inlineStr">
        <is>
          <t>2026-09-07</t>
        </is>
      </c>
      <c r="C16" s="11" t="inlineStr">
        <is>
          <t>Task 12</t>
        </is>
      </c>
      <c r="D16" s="12" t="inlineStr">
        <is>
          <t>Xây dựng Cặp Banner tiện ích cửa hàng (Dual Store Banners 50% - 50% gradient cam đỏ)</t>
        </is>
      </c>
      <c r="E16" s="11" t="inlineStr">
        <is>
          <t>Developer</t>
        </is>
      </c>
      <c r="F16" s="11" t="n"/>
      <c r="G16" s="11" t="n"/>
      <c r="H16" s="13">
        <f>IF(AND(F16&lt;&gt;"",G16&lt;&gt;""),(G16-F16)*24,"")</f>
        <v/>
      </c>
      <c r="I16" s="52" t="inlineStr">
        <is>
          <t>Hoàn thành</t>
        </is>
      </c>
      <c r="J16" s="11" t="inlineStr">
        <is>
          <t>Cao</t>
        </is>
      </c>
      <c r="K16" s="12" t="inlineStr">
        <is>
          <t>Đã hoàn thành: 2 Banner zoom từ tâm 0-&gt;1, cấu hình SCF Theme Settings</t>
        </is>
      </c>
    </row>
    <row r="17" ht="22" customHeight="1">
      <c r="A17" s="10" t="n">
        <v>13</v>
      </c>
      <c r="B17" s="11" t="inlineStr">
        <is>
          <t>2026-09-07</t>
        </is>
      </c>
      <c r="C17" s="11" t="inlineStr">
        <is>
          <t>Task 13</t>
        </is>
      </c>
      <c r="D17" s="12" t="inlineStr">
        <is>
          <t>Xây dựng Tiêu đề H1 &amp; Thanh công cụ bộ lọc ngang (Horizontal Filter Toolbar Dropdowns)</t>
        </is>
      </c>
      <c r="E17" s="11" t="inlineStr">
        <is>
          <t>Developer</t>
        </is>
      </c>
      <c r="F17" s="11" t="inlineStr">
        <is>
          <t>16:25</t>
        </is>
      </c>
      <c r="G17" s="11" t="inlineStr">
        <is>
          <t>17:05</t>
        </is>
      </c>
      <c r="H17" s="13">
        <f>IF(AND(F17&lt;&gt;"",G17&lt;&gt;""),(G17-F17)*24,"")</f>
        <v/>
      </c>
      <c r="I17" s="50" t="inlineStr">
        <is>
          <t>Hoàn thành</t>
        </is>
      </c>
      <c r="J17" s="11" t="inlineStr">
        <is>
          <t>Cao</t>
        </is>
      </c>
      <c r="K17" s="12" t="inlineStr">
        <is>
          <t>Tích hợp sidebar filter-sidebar dạng dropdowns: Thương hiệu, Giá, Dòng xe, Bánh xe</t>
        </is>
      </c>
    </row>
    <row r="18" ht="22" customHeight="1">
      <c r="A18" s="10" t="n">
        <v>14</v>
      </c>
      <c r="B18" s="11" t="inlineStr">
        <is>
          <t>2026-09-07</t>
        </is>
      </c>
      <c r="C18" s="11" t="inlineStr">
        <is>
          <t>Task 14</t>
        </is>
      </c>
      <c r="D18" s="12" t="inlineStr">
        <is>
          <t>Xây dựng Thanh sắp xếp radio button (Xếp theo: Tên A-Z, Tên Z-A, Hàng mới, Giá thấp-cao)</t>
        </is>
      </c>
      <c r="E18" s="11" t="inlineStr">
        <is>
          <t>Developer</t>
        </is>
      </c>
      <c r="F18" s="11" t="inlineStr">
        <is>
          <t>17:05</t>
        </is>
      </c>
      <c r="G18" s="11" t="inlineStr">
        <is>
          <t>17:15</t>
        </is>
      </c>
      <c r="H18" s="13">
        <f>IF(AND(F18&lt;&gt;"",G18&lt;&gt;""),(G18-F18)*24,"")</f>
        <v/>
      </c>
      <c r="I18" s="11" t="inlineStr">
        <is>
          <t>Hoàn thành</t>
        </is>
      </c>
      <c r="J18" s="11" t="inlineStr">
        <is>
          <t>Cao</t>
        </is>
      </c>
      <c r="K18" s="12" t="inlineStr">
        <is>
          <t>Tùy biến woocommerce_catalog_ordering thành cụm radio buttons trong khung viền xám</t>
        </is>
      </c>
    </row>
    <row r="19" ht="22" customHeight="1">
      <c r="A19" s="10" t="n">
        <v>15</v>
      </c>
      <c r="B19" s="11" t="inlineStr">
        <is>
          <t>2026-09-07</t>
        </is>
      </c>
      <c r="C19" s="11" t="inlineStr">
        <is>
          <t>Task 15</t>
        </is>
      </c>
      <c r="D19" s="12" t="inlineStr">
        <is>
          <t>Tối ưu Card sản phẩm &amp; Lưới 5 cột x 20 sản phẩm (Product Grid Archive Loop)</t>
        </is>
      </c>
      <c r="E19" s="11" t="inlineStr">
        <is>
          <t>Developer</t>
        </is>
      </c>
      <c r="F19" s="11" t="n"/>
      <c r="G19" s="11" t="n"/>
      <c r="H19" s="13">
        <f>IF(AND(F19&lt;&gt;"",G19&lt;&gt;""),(G19-F19)*24,"")</f>
        <v/>
      </c>
      <c r="I19" s="52" t="inlineStr">
        <is>
          <t>Hoàn thành</t>
        </is>
      </c>
      <c r="J19" s="11" t="inlineStr">
        <is>
          <t>Cao</t>
        </is>
      </c>
      <c r="K19" s="12" t="inlineStr">
        <is>
          <t>Đã hoàn thành: Thuộc tính xe đạp, nhãn giảm giá ⚡ Giảm X%, lưới 5 cột hoàn chỉnh</t>
        </is>
      </c>
    </row>
    <row r="20" ht="22" customHeight="1">
      <c r="A20" s="10" t="n">
        <v>16</v>
      </c>
      <c r="B20" s="11" t="inlineStr">
        <is>
          <t>2026-09-07</t>
        </is>
      </c>
      <c r="C20" s="11" t="inlineStr">
        <is>
          <t>Task 16</t>
        </is>
      </c>
      <c r="D20" s="12" t="inlineStr">
        <is>
          <t>Tùy biến Thanh phân trang màu đỏ bo góc (WooCommerce Pagination Bar)</t>
        </is>
      </c>
      <c r="E20" s="11" t="inlineStr">
        <is>
          <t>Developer</t>
        </is>
      </c>
      <c r="F20" s="11" t="n"/>
      <c r="G20" s="11" t="n"/>
      <c r="H20" s="13">
        <f>IF(AND(F20&lt;&gt;"",G20&lt;&gt;""),(G20-F20)*24,"")</f>
        <v/>
      </c>
      <c r="I20" s="52" t="inlineStr">
        <is>
          <t>Hoàn thành</t>
        </is>
      </c>
      <c r="J20" s="11" t="inlineStr">
        <is>
          <t>Trung bình</t>
        </is>
      </c>
      <c r="K20" s="12" t="inlineStr">
        <is>
          <t>Đã hoàn thành: Phân trang WooCommerce ô vuông đỏ bo góc chuẩn Flatsome</t>
        </is>
      </c>
    </row>
    <row r="21" ht="22" customHeight="1">
      <c r="A21" s="10" t="n">
        <v>17</v>
      </c>
      <c r="B21" s="11" t="inlineStr">
        <is>
          <t>2026-09-07</t>
        </is>
      </c>
      <c r="C21" s="11" t="inlineStr">
        <is>
          <t>Task 17</t>
        </is>
      </c>
      <c r="D21" s="12" t="inlineStr">
        <is>
          <t>Xây dựng Khối mô tả chính sách cửa hàng chuẩn SEO chân trang (SEO Content Box)</t>
        </is>
      </c>
      <c r="E21" s="11" t="inlineStr">
        <is>
          <t>Developer</t>
        </is>
      </c>
      <c r="F21" s="11" t="n"/>
      <c r="G21" s="11" t="n"/>
      <c r="H21" s="13">
        <f>IF(AND(F21&lt;&gt;"",G21&lt;&gt;""),(G21-F21)*24,"")</f>
        <v/>
      </c>
      <c r="I21" s="52" t="inlineStr">
        <is>
          <t>Hoàn thành</t>
        </is>
      </c>
      <c r="J21" s="11" t="inlineStr">
        <is>
          <t>Trung bình</t>
        </is>
      </c>
      <c r="K21" s="12" t="inlineStr">
        <is>
          <t>Đã hoàn thành: Tiêu đề viền nét đứt dashed #ccc, nội dung SCF Theme Settings</t>
        </is>
      </c>
    </row>
    <row r="22" ht="22" customHeight="1">
      <c r="A22" s="10" t="n">
        <v>18</v>
      </c>
      <c r="B22" s="11" t="inlineStr">
        <is>
          <t>2026-09-07</t>
        </is>
      </c>
      <c r="C22" s="11" t="inlineStr">
        <is>
          <t>Task 18</t>
        </is>
      </c>
      <c r="D22" s="12" t="inlineStr">
        <is>
          <t>Tích hợp Dải 4 Huy hiệu cam kết dịch vụ chân trang (Trust Badges)</t>
        </is>
      </c>
      <c r="E22" s="11" t="inlineStr">
        <is>
          <t>Developer</t>
        </is>
      </c>
      <c r="F22" s="11" t="n"/>
      <c r="G22" s="11" t="n"/>
      <c r="H22" s="13">
        <f>IF(AND(F22&lt;&gt;"",G22&lt;&gt;""),(G22-F22)*24,"")</f>
        <v/>
      </c>
      <c r="I22" s="52" t="inlineStr">
        <is>
          <t>Hoàn thành</t>
        </is>
      </c>
      <c r="J22" s="11" t="inlineStr">
        <is>
          <t>Trung bình</t>
        </is>
      </c>
      <c r="K22" s="12" t="inlineStr">
        <is>
          <t>Đã hoàn thành: 4 cam kết dịch vụ chân trang chuẩn mockup</t>
        </is>
      </c>
    </row>
    <row r="23" ht="22" customHeight="1">
      <c r="A23" s="10" t="n">
        <v>19</v>
      </c>
      <c r="B23" s="11" t="inlineStr">
        <is>
          <t>2026-09-07</t>
        </is>
      </c>
      <c r="C23" s="11" t="inlineStr">
        <is>
          <t>Task 19</t>
        </is>
      </c>
      <c r="D23" s="12" t="inlineStr">
        <is>
          <t>Kiểm thử hiển thị Responsive Mobile/Tablet &amp; Tối ưu hiệu năng trang Sản Phẩm</t>
        </is>
      </c>
      <c r="E23" s="11" t="inlineStr">
        <is>
          <t>Developer</t>
        </is>
      </c>
      <c r="F23" s="11" t="n"/>
      <c r="G23" s="11" t="n"/>
      <c r="H23" s="13">
        <f>IF(AND(F23&lt;&gt;"",G23&lt;&gt;""),(G23-F23)*24,"")</f>
        <v/>
      </c>
      <c r="I23" s="52" t="inlineStr">
        <is>
          <t>Hoàn thành</t>
        </is>
      </c>
      <c r="J23" s="11" t="inlineStr">
        <is>
          <t>Cao</t>
        </is>
      </c>
      <c r="K23" s="12" t="inlineStr">
        <is>
          <t>Đã hoàn thành: Responsive mượt mà trên Mobile &amp; Tablet, tải trang nhanh</t>
        </is>
      </c>
    </row>
    <row r="24" ht="36" customHeight="1">
      <c r="A24" s="10" t="n">
        <v>20</v>
      </c>
      <c r="B24" s="11" t="inlineStr">
        <is>
          <t>2026-09-08</t>
        </is>
      </c>
      <c r="C24" s="11" t="inlineStr">
        <is>
          <t>Task SP-01 (Tiếp tục)</t>
        </is>
      </c>
      <c r="D24" s="51" t="inlineStr">
        <is>
          <t>Tiếp tục Trang Sản Phẩm - Task 1. Bộ lọc: Hợp nhất module gobike-product-filter.php, lọc khoảng giá, đồng bộ sắp xếp &amp; đẩy Git</t>
        </is>
      </c>
      <c r="E24" s="11" t="inlineStr">
        <is>
          <t>Developer</t>
        </is>
      </c>
      <c r="F24" s="11" t="inlineStr">
        <is>
          <t>08:00</t>
        </is>
      </c>
      <c r="G24" s="11" t="inlineStr">
        <is>
          <t>09:30</t>
        </is>
      </c>
      <c r="H24" s="13">
        <f>IF(AND(F24&lt;&gt;"",G24&lt;&gt;""),(G24-F24)*24,"")</f>
        <v/>
      </c>
      <c r="I24" s="52" t="inlineStr">
        <is>
          <t>Hoàn thành</t>
        </is>
      </c>
      <c r="J24" s="11" t="inlineStr">
        <is>
          <t>Cao</t>
        </is>
      </c>
      <c r="K24" s="51" t="inlineStr">
        <is>
          <t>Đóng gói toàn bộ logic PHP/CSS/JS bộ lọc vào 1 file gobike-product-filter.php; lọc 5 khoảng giá VNĐ; đồng bộ thanh sắp xếp radio; nạp ưu tiên đầu functions.php; push full repo GitHub.</t>
        </is>
      </c>
    </row>
    <row r="25" ht="40" customHeight="1">
      <c r="A25" s="10" t="n">
        <v>21</v>
      </c>
      <c r="B25" s="11" t="inlineStr">
        <is>
          <t>2026-09-08</t>
        </is>
      </c>
      <c r="C25" s="11" t="inlineStr">
        <is>
          <t>Task SP-02 (Hoàn thiện)</t>
        </is>
      </c>
      <c r="D25" s="51" t="inlineStr">
        <is>
          <t>Hoàn thiện Các trường thêm (SCF Theme Settings: 2 Banner zoom từ tâm, Khối SEO chân trang nét đứt) &amp; Nghiệm thu toàn bộ Trang Sản Phẩm</t>
        </is>
      </c>
      <c r="E25" s="11" t="inlineStr">
        <is>
          <t>Developer</t>
        </is>
      </c>
      <c r="F25" s="11" t="inlineStr">
        <is>
          <t>09:30</t>
        </is>
      </c>
      <c r="G25" s="11" t="inlineStr">
        <is>
          <t>11:15</t>
        </is>
      </c>
      <c r="H25" s="13">
        <f>IF(AND(F25&lt;&gt;"",G25&lt;&gt;""),(G25-F25)*24,"")</f>
        <v/>
      </c>
      <c r="I25" s="52" t="inlineStr">
        <is>
          <t>Hoàn thành</t>
        </is>
      </c>
      <c r="J25" s="11" t="inlineStr">
        <is>
          <t>Cao</t>
        </is>
      </c>
      <c r="K25" s="51" t="inlineStr">
        <is>
          <t>Khắc phục triệt để lỗi syntax chặn nạp SCF/Theme Settings; cấu hình 2 banner zoom từ tâm 0-&gt;1 và khối SEO chân trang kèm đường viền nét đứt chuẩn ảnh mockup; hoàn tất 100% trang Sản Phẩm.</t>
        </is>
      </c>
    </row>
    <row r="26" ht="42" customHeight="1">
      <c r="A26" s="69" t="n">
        <v>22</v>
      </c>
      <c r="B26" s="70" t="inlineStr">
        <is>
          <t>2026-09-08</t>
        </is>
      </c>
      <c r="C26" s="70" t="inlineStr">
        <is>
          <t>Task FT-01</t>
        </is>
      </c>
      <c r="D26" s="71" t="inlineStr">
        <is>
          <t>Nâng cấp hoàn thiện Footer chuẩn Mockup (Trust Badges đỏ #d0021b, box 4 Showroom, tiện ích, hotline, MXH, logo BCT &amp; form email)</t>
        </is>
      </c>
      <c r="E26" s="70" t="inlineStr">
        <is>
          <t>Developer</t>
        </is>
      </c>
      <c r="F26" s="70" t="n"/>
      <c r="G26" s="70" t="n"/>
      <c r="H26" s="72">
        <f>IF(AND(F26&lt;&gt;"",G26&lt;&gt;""),(G26-F26)*24,"")</f>
        <v/>
      </c>
      <c r="I26" s="74" t="inlineStr">
        <is>
          <t>Chờ thực hiện</t>
        </is>
      </c>
      <c r="J26" s="70" t="inlineStr">
        <is>
          <t>Cao</t>
        </is>
      </c>
      <c r="K26" s="71" t="inlineStr">
        <is>
          <t>Triển khai 5 Subtask nâng cấp từ hiện trạng ảnh 2 đạt 100% chuẩn mẫu ảnh 1: Badges đỏ, box 4 showroom, tiện ích, hotline phân màu, logo BCT, form email.</t>
        </is>
      </c>
    </row>
    <row r="27" ht="42" customHeight="1">
      <c r="A27" s="69" t="n">
        <v>23</v>
      </c>
      <c r="B27" s="70" t="inlineStr">
        <is>
          <t>2026-09-08</t>
        </is>
      </c>
      <c r="C27" s="70" t="inlineStr">
        <is>
          <t>Task HD-01</t>
        </is>
      </c>
      <c r="D27" s="71" t="inlineStr">
        <is>
          <t>Tái cấu trúc Header theo chuẩn Flatsome mẫu (Ảnh 1): Khắc phục Top Bar lỗi shortcode, thay thế 4 nút xanh cồng kềnh bằng cụm Icon + Text 2 dòng tinh tế, thanh search viên thuốc viền mảnh và khối Menu Danh Mục lưới 4 ô vuông</t>
        </is>
      </c>
      <c r="E27" s="70" t="inlineStr">
        <is>
          <t>Developer</t>
        </is>
      </c>
      <c r="F27" s="70" t="n"/>
      <c r="G27" s="70" t="n"/>
      <c r="H27" s="72">
        <f>IF(AND(F27&lt;&gt;"",G27&lt;&gt;""),(G27-F27)*24,"")</f>
        <v/>
      </c>
      <c r="I27" s="74" t="inlineStr">
        <is>
          <t>Chờ thực hiện</t>
        </is>
      </c>
      <c r="J27" s="70" t="inlineStr">
        <is>
          <t>Cao</t>
        </is>
      </c>
      <c r="K27" s="71" t="inlineStr">
        <is>
          <t>Kế hoạch gồm 5 Subtask: Tối ưu Top Bar, Pill search bar, cụm 4 tiện ích Icon + Text 2 dòng, Menu Danh mục 4 ô vuông &amp; Responsive mobile. Dự toán: 2.5 - 3.5 giờ.</t>
        </is>
      </c>
    </row>
    <row r="28" ht="22" customHeight="1">
      <c r="A28" s="10" t="n">
        <v>24</v>
      </c>
      <c r="B28" s="11" t="n"/>
      <c r="C28" s="11" t="n"/>
      <c r="D28" s="12" t="n"/>
      <c r="E28" s="11" t="n"/>
      <c r="F28" s="11" t="n"/>
      <c r="G28" s="11" t="n"/>
      <c r="H28" s="13">
        <f>IF(AND(F28&lt;&gt;"",G28&lt;&gt;""),(G28-F28)*24,"")</f>
        <v/>
      </c>
      <c r="I28" s="11" t="n"/>
      <c r="J28" s="11" t="n"/>
      <c r="K28" s="12" t="n"/>
    </row>
    <row r="29" ht="22" customHeight="1">
      <c r="A29" s="10" t="n">
        <v>25</v>
      </c>
      <c r="B29" s="11" t="n"/>
      <c r="C29" s="11" t="n"/>
      <c r="D29" s="12" t="n"/>
      <c r="E29" s="11" t="n"/>
      <c r="F29" s="11" t="n"/>
      <c r="G29" s="11" t="n"/>
      <c r="H29" s="13">
        <f>IF(AND(F29&lt;&gt;"",G29&lt;&gt;""),(G29-F29)*24,"")</f>
        <v/>
      </c>
      <c r="I29" s="11" t="n"/>
      <c r="J29" s="11" t="n"/>
      <c r="K29" s="12" t="n"/>
    </row>
    <row r="30" ht="26" customHeight="1">
      <c r="A30" s="14" t="inlineStr">
        <is>
          <t>TỔNG CỘNG THỜI GIAN ĐÃ THỰC HIỆN (GIỜ):</t>
        </is>
      </c>
      <c r="B30" s="18" t="n"/>
      <c r="C30" s="18" t="n"/>
      <c r="D30" s="18" t="n"/>
      <c r="E30" s="18" t="n"/>
      <c r="F30" s="18" t="n"/>
      <c r="G30" s="19" t="n"/>
      <c r="H30" s="16">
        <f>SUM(H5:H29)</f>
        <v/>
      </c>
      <c r="I30" s="15" t="n"/>
      <c r="J30" s="15" t="n"/>
      <c r="K30" s="15" t="n"/>
    </row>
    <row r="32" ht="28" customHeight="1">
      <c r="A32" s="55" t="inlineStr">
        <is>
          <t>IV. BẢNG TỔNG KẾT THỜI GIAN THEO NGÀY (DAILY TIME TRACKING SUMMARY)</t>
        </is>
      </c>
    </row>
    <row r="33" ht="26" customHeight="1">
      <c r="A33" s="56" t="inlineStr">
        <is>
          <t>STT</t>
        </is>
      </c>
      <c r="B33" s="56" t="inlineStr">
        <is>
          <t>Ngày Làm Việc</t>
        </is>
      </c>
      <c r="C33" s="56" t="inlineStr">
        <is>
          <t>Số Lượng Task</t>
        </is>
      </c>
      <c r="D33" s="57" t="inlineStr">
        <is>
          <t>Nội Dung Công Việc Trọng Tâm Trong Ngày</t>
        </is>
      </c>
      <c r="E33" s="56" t="inlineStr">
        <is>
          <t>Người Phụ Trách</t>
        </is>
      </c>
      <c r="F33" s="56" t="inlineStr">
        <is>
          <t>Khung Giờ Bắt Đầu</t>
        </is>
      </c>
      <c r="G33" s="56" t="inlineStr">
        <is>
          <t>Khung Giờ Kết Thúc</t>
        </is>
      </c>
      <c r="H33" s="56" t="inlineStr">
        <is>
          <t>Tổng Giờ (h)</t>
        </is>
      </c>
      <c r="I33" s="56" t="inlineStr">
        <is>
          <t>Trạng Thái</t>
        </is>
      </c>
      <c r="J33" s="56" t="inlineStr">
        <is>
          <t>Mức Độ Hoàn Thành</t>
        </is>
      </c>
      <c r="K33" s="57" t="inlineStr">
        <is>
          <t>Đánh Giá Tiến Độ &amp; Kết Quả Bàn Giao</t>
        </is>
      </c>
    </row>
    <row r="34" ht="36" customHeight="1">
      <c r="A34" s="58" t="n">
        <v>1</v>
      </c>
      <c r="B34" s="58" t="inlineStr">
        <is>
          <t>2026-09-07</t>
        </is>
      </c>
      <c r="C34" s="58" t="inlineStr">
        <is>
          <t>13 Task</t>
        </is>
      </c>
      <c r="D34" s="59" t="inlineStr">
        <is>
          <t>Khởi tạo Taxonomy/Attributes + Hoàn thành 10 Task Trang Chủ + Khởi động Trang Sản Phẩm (Breadcrumb, Bộ lọc, Sắp xếp)</t>
        </is>
      </c>
      <c r="E34" s="58" t="inlineStr">
        <is>
          <t>Developer</t>
        </is>
      </c>
      <c r="F34" s="58" t="inlineStr">
        <is>
          <t>08:00</t>
        </is>
      </c>
      <c r="G34" s="58" t="inlineStr">
        <is>
          <t>21:45</t>
        </is>
      </c>
      <c r="H34" s="58">
        <f>SUMIF(B$5:B$29, "2026-09-07", H$5:H$29)</f>
        <v/>
      </c>
      <c r="I34" s="60" t="inlineStr">
        <is>
          <t>Hoàn thành</t>
        </is>
      </c>
      <c r="J34" s="60" t="inlineStr">
        <is>
          <t>100% Đạt mục tiêu</t>
        </is>
      </c>
      <c r="K34" s="59" t="inlineStr">
        <is>
          <t>Hoàn tất toàn bộ 10 khối Trang Chủ, cấu hình dữ liệu nền tảng và dựng khung sườn phân cấp Trang Sản Phẩm.</t>
        </is>
      </c>
    </row>
    <row r="35" ht="36" customHeight="1">
      <c r="A35" s="58" t="n">
        <v>2</v>
      </c>
      <c r="B35" s="58" t="inlineStr">
        <is>
          <t>2026-09-08</t>
        </is>
      </c>
      <c r="C35" s="58" t="inlineStr">
        <is>
          <t>2 Task lớn</t>
        </is>
      </c>
      <c r="D35" s="59" t="inlineStr">
        <is>
          <t>Hoàn thiện Trang Sản Phẩm: Đóng gói gobike-product-filter.php (5 khoảng giá, sắp xếp radio, fix no-products), Cặp Banner zoom từ tâm, Khối SEO chân trang nét đứt, SCF Theme Settings &amp; Push GitHub</t>
        </is>
      </c>
      <c r="E35" s="58" t="inlineStr">
        <is>
          <t>Developer</t>
        </is>
      </c>
      <c r="F35" s="58" t="inlineStr">
        <is>
          <t>08:00</t>
        </is>
      </c>
      <c r="G35" s="58" t="inlineStr">
        <is>
          <t>11:15</t>
        </is>
      </c>
      <c r="H35" s="58">
        <f>SUMIF(B$5:B$29, "2026-09-08", H$5:H$29)</f>
        <v/>
      </c>
      <c r="I35" s="60" t="inlineStr">
        <is>
          <t>Hoàn thành</t>
        </is>
      </c>
      <c r="J35" s="60" t="inlineStr">
        <is>
          <t>100% Đạt mục tiêu</t>
        </is>
      </c>
      <c r="K35" s="59" t="inlineStr">
        <is>
          <t>Nghiệm thu trọn vẹn 100% Trang Sản Phẩm theo mockup; loại bỏ triệt để lỗi syntax chặn load code, đồng bộ mã nguồn lên Git.</t>
        </is>
      </c>
    </row>
    <row r="36" ht="26" customHeight="1">
      <c r="A36" s="61" t="inlineStr">
        <is>
          <t>TỔNG CỘNG THỜI GIAN LÀM VIỆC CẢ 2 NGÀY (GIỜ):</t>
        </is>
      </c>
      <c r="B36" s="75" t="n"/>
      <c r="C36" s="75" t="n"/>
      <c r="D36" s="75" t="n"/>
      <c r="E36" s="75" t="n"/>
      <c r="F36" s="75" t="n"/>
      <c r="G36" s="76" t="n"/>
      <c r="H36" s="63">
        <f>SUM(H34:H35)</f>
        <v/>
      </c>
      <c r="I36" s="64" t="inlineStr">
        <is>
          <t>100% XONG</t>
        </is>
      </c>
      <c r="J36" s="64" t="inlineStr">
        <is>
          <t>ĐÚNG TIẾN ĐỘ</t>
        </is>
      </c>
      <c r="K36" s="65" t="n"/>
    </row>
    <row r="38" ht="28" customHeight="1">
      <c r="A38" s="66" t="inlineStr">
        <is>
          <t>V. BẢNG TỔNG KẾT THỜI GIAN HOÀN THIỆN THEO TỪNG TASK NHỎ &amp; GIAI ĐOẠN (SUBTASK BREAKDOWN)</t>
        </is>
      </c>
    </row>
    <row r="39" ht="26" customHeight="1">
      <c r="A39" s="56" t="inlineStr">
        <is>
          <t>STT</t>
        </is>
      </c>
      <c r="B39" s="56" t="inlineStr">
        <is>
          <t>Mã Task</t>
        </is>
      </c>
      <c r="C39" s="56" t="inlineStr">
        <is>
          <t>Giai Đoạn / Nhóm</t>
        </is>
      </c>
      <c r="D39" s="57" t="inlineStr">
        <is>
          <t>Tên Task Nhỏ / Khối Giao Diện Cụ Thể</t>
        </is>
      </c>
      <c r="E39" s="56" t="inlineStr">
        <is>
          <t>Công Cụ / File Xử Lý</t>
        </is>
      </c>
      <c r="F39" s="56" t="inlineStr">
        <is>
          <t>Bắt Đầu</t>
        </is>
      </c>
      <c r="G39" s="56" t="inlineStr">
        <is>
          <t>Kết Thúc</t>
        </is>
      </c>
      <c r="H39" s="56" t="inlineStr">
        <is>
          <t>Tổng Giờ (h)</t>
        </is>
      </c>
      <c r="I39" s="56" t="inlineStr">
        <is>
          <t>Thời Lượng (Phút)</t>
        </is>
      </c>
      <c r="J39" s="56" t="inlineStr">
        <is>
          <t>Trạng Thái</t>
        </is>
      </c>
      <c r="K39" s="57" t="inlineStr">
        <is>
          <t>Kết Quả / Giá Trị Đạt Được</t>
        </is>
      </c>
    </row>
    <row r="40" ht="28" customHeight="1">
      <c r="A40" s="58" t="n">
        <v>1</v>
      </c>
      <c r="B40" s="67" t="inlineStr">
        <is>
          <t>Task 1</t>
        </is>
      </c>
      <c r="C40" s="58" t="inlineStr">
        <is>
          <t>I. Nền Tảng</t>
        </is>
      </c>
      <c r="D40" s="59" t="inlineStr">
        <is>
          <t>Khởi tạo Taxonomy danh mục xe &amp; Thuộc tính (Pin, Động cơ, Quãng đường, Tốc độ)</t>
        </is>
      </c>
      <c r="E40" s="58" t="inlineStr">
        <is>
          <t>WP Admin &amp; Woo</t>
        </is>
      </c>
      <c r="F40" s="58" t="inlineStr">
        <is>
          <t>08:00</t>
        </is>
      </c>
      <c r="G40" s="58" t="inlineStr">
        <is>
          <t>09:00</t>
        </is>
      </c>
      <c r="H40" s="67" t="n">
        <v>1</v>
      </c>
      <c r="I40" s="58" t="inlineStr">
        <is>
          <t>60 phút</t>
        </is>
      </c>
      <c r="J40" s="60" t="inlineStr">
        <is>
          <t>Hoàn thành</t>
        </is>
      </c>
      <c r="K40" s="59" t="inlineStr">
        <is>
          <t>Cơ sở dữ liệu danh mục xe và bộ 4 thuộc tính kỹ thuật hoàn chỉnh</t>
        </is>
      </c>
    </row>
    <row r="41" ht="28" customHeight="1">
      <c r="A41" s="58" t="n">
        <v>2</v>
      </c>
      <c r="B41" s="67" t="inlineStr">
        <is>
          <t>Task 2</t>
        </is>
      </c>
      <c r="C41" s="58" t="inlineStr">
        <is>
          <t>II. Trang Chủ</t>
        </is>
      </c>
      <c r="D41" s="59" t="inlineStr">
        <is>
          <t>Header đa tầng: Topbar đỏ cam kết + Main Header đen + Live Search + Cụm Icons</t>
        </is>
      </c>
      <c r="E41" s="58" t="inlineStr">
        <is>
          <t>Header Builder</t>
        </is>
      </c>
      <c r="F41" s="58" t="inlineStr">
        <is>
          <t>09:00</t>
        </is>
      </c>
      <c r="G41" s="58" t="inlineStr">
        <is>
          <t>10:30</t>
        </is>
      </c>
      <c r="H41" s="67" t="n">
        <v>1.5</v>
      </c>
      <c r="I41" s="58" t="inlineStr">
        <is>
          <t>90 phút</t>
        </is>
      </c>
      <c r="J41" s="60" t="inlineStr">
        <is>
          <t>Hoàn thành</t>
        </is>
      </c>
      <c r="K41" s="59" t="inlineStr">
        <is>
          <t>Header 2 tầng chuẩn nhận diện thương hiệu, AJAX live search sản phẩm</t>
        </is>
      </c>
    </row>
    <row r="42" ht="28" customHeight="1">
      <c r="A42" s="58" t="n">
        <v>3</v>
      </c>
      <c r="B42" s="67" t="inlineStr">
        <is>
          <t>Task 3</t>
        </is>
      </c>
      <c r="C42" s="58" t="inlineStr">
        <is>
          <t>II. Trang Chủ</t>
        </is>
      </c>
      <c r="D42" s="59" t="inlineStr">
        <is>
          <t>Navigation Menu đỏ chính (#d0021b) + Tích hợp Mega Menu danh mục xe</t>
        </is>
      </c>
      <c r="E42" s="58" t="inlineStr">
        <is>
          <t>WP Menu + CSS</t>
        </is>
      </c>
      <c r="F42" s="58" t="inlineStr">
        <is>
          <t>10:30</t>
        </is>
      </c>
      <c r="G42" s="58" t="inlineStr">
        <is>
          <t>11:30</t>
        </is>
      </c>
      <c r="H42" s="67" t="n">
        <v>1</v>
      </c>
      <c r="I42" s="58" t="inlineStr">
        <is>
          <t>60 phút</t>
        </is>
      </c>
      <c r="J42" s="60" t="inlineStr">
        <is>
          <t>Hoàn thành</t>
        </is>
      </c>
      <c r="K42" s="59" t="inlineStr">
        <is>
          <t>Thanh menu đỏ nổi bật, bo góc viền dưới, dropdown menu mượt mà</t>
        </is>
      </c>
    </row>
    <row r="43" ht="28" customHeight="1">
      <c r="A43" s="58" t="n">
        <v>4</v>
      </c>
      <c r="B43" s="67" t="inlineStr">
        <is>
          <t>Task 4</t>
        </is>
      </c>
      <c r="C43" s="58" t="inlineStr">
        <is>
          <t>II. Trang Chủ</t>
        </is>
      </c>
      <c r="D43" s="59" t="inlineStr">
        <is>
          <t>Hero Section: Slider banner chính + Tin tức nổi bật + Banner giao hỏa tốc 1H</t>
        </is>
      </c>
      <c r="E43" s="58" t="inlineStr">
        <is>
          <t>UX Builder</t>
        </is>
      </c>
      <c r="F43" s="58" t="inlineStr">
        <is>
          <t>11:30</t>
        </is>
      </c>
      <c r="G43" s="58" t="inlineStr">
        <is>
          <t>12:30</t>
        </is>
      </c>
      <c r="H43" s="67" t="n">
        <v>1</v>
      </c>
      <c r="I43" s="58" t="inlineStr">
        <is>
          <t>60 phút</t>
        </is>
      </c>
      <c r="J43" s="60" t="inlineStr">
        <is>
          <t>Hoàn thành</t>
        </is>
      </c>
      <c r="K43" s="59" t="inlineStr">
        <is>
          <t>Bố cục 2/3 slider tự động chạy + 1/3 widget bài viết và banner cam</t>
        </is>
      </c>
    </row>
    <row r="44" ht="28" customHeight="1">
      <c r="A44" s="58" t="n">
        <v>5</v>
      </c>
      <c r="B44" s="67" t="inlineStr">
        <is>
          <t>Task 5</t>
        </is>
      </c>
      <c r="C44" s="58" t="inlineStr">
        <is>
          <t>II. Trang Chủ</t>
        </is>
      </c>
      <c r="D44" s="59" t="inlineStr">
        <is>
          <t>Section Giờ Vàng - Giá Cực Sốc (Tabs 17h, 19h, 20h, 21h + Lưới 5 sản phẩm sale)</t>
        </is>
      </c>
      <c r="E44" s="58" t="inlineStr">
        <is>
          <t>UX + Shortcode</t>
        </is>
      </c>
      <c r="F44" s="58" t="inlineStr">
        <is>
          <t>13:30</t>
        </is>
      </c>
      <c r="G44" s="58" t="inlineStr">
        <is>
          <t>15:30</t>
        </is>
      </c>
      <c r="H44" s="67" t="n">
        <v>2</v>
      </c>
      <c r="I44" s="58" t="inlineStr">
        <is>
          <t>120 phút</t>
        </is>
      </c>
      <c r="J44" s="60" t="inlineStr">
        <is>
          <t>Hoàn thành</t>
        </is>
      </c>
      <c r="K44" s="59" t="inlineStr">
        <is>
          <t>Tabs mốc thời gian chuyển đổi nhanh, thanh tiến độ bán hàng trực quan</t>
        </is>
      </c>
    </row>
    <row r="45" ht="28" customHeight="1">
      <c r="A45" s="58" t="n">
        <v>6</v>
      </c>
      <c r="B45" s="67" t="inlineStr">
        <is>
          <t>Task 6</t>
        </is>
      </c>
      <c r="C45" s="58" t="inlineStr">
        <is>
          <t>II. Trang Chủ</t>
        </is>
      </c>
      <c r="D45" s="59" t="inlineStr">
        <is>
          <t>4 Khối danh mục xe đạp (Shortcode [gobike_category_block] lưới 5 cột: 1 Big + 8 Small)</t>
        </is>
      </c>
      <c r="E45" s="58" t="inlineStr">
        <is>
          <t>functions.php &amp; CSS</t>
        </is>
      </c>
      <c r="F45" s="58" t="inlineStr">
        <is>
          <t>15:30</t>
        </is>
      </c>
      <c r="G45" s="58" t="inlineStr">
        <is>
          <t>17:00</t>
        </is>
      </c>
      <c r="H45" s="67" t="n">
        <v>1.5</v>
      </c>
      <c r="I45" s="58" t="inlineStr">
        <is>
          <t>90 phút</t>
        </is>
      </c>
      <c r="J45" s="60" t="inlineStr">
        <is>
          <t>Hoàn thành</t>
        </is>
      </c>
      <c r="K45" s="59" t="inlineStr">
        <is>
          <t>Lưới 5 cột tự co giãn, tự tính nhãn ⚡ Giảm X%, in thông số pin/quãng đường</t>
        </is>
      </c>
    </row>
    <row r="46" ht="28" customHeight="1">
      <c r="A46" s="58" t="n">
        <v>7</v>
      </c>
      <c r="B46" s="67" t="inlineStr">
        <is>
          <t>Task 7</t>
        </is>
      </c>
      <c r="C46" s="58" t="inlineStr">
        <is>
          <t>II. Trang Chủ</t>
        </is>
      </c>
      <c r="D46" s="59" t="inlineStr">
        <is>
          <t>Section Tin tức - Bài viết Blog (Lưới 4 cột thumbnail, ngày đăng, tóm tắt)</t>
        </is>
      </c>
      <c r="E46" s="58" t="inlineStr">
        <is>
          <t>UX Blog Posts</t>
        </is>
      </c>
      <c r="F46" s="58" t="inlineStr">
        <is>
          <t>17:00</t>
        </is>
      </c>
      <c r="G46" s="58" t="inlineStr">
        <is>
          <t>18:00</t>
        </is>
      </c>
      <c r="H46" s="67" t="n">
        <v>1</v>
      </c>
      <c r="I46" s="58" t="inlineStr">
        <is>
          <t>60 phút</t>
        </is>
      </c>
      <c r="J46" s="60" t="inlineStr">
        <is>
          <t>Hoàn thành</t>
        </is>
      </c>
      <c r="K46" s="59" t="inlineStr">
        <is>
          <t>Hiển thị 4 bài blog mới nhất, nút Xem tất cả liên kết trang tin</t>
        </is>
      </c>
    </row>
    <row r="47" ht="28" customHeight="1">
      <c r="A47" s="58" t="n">
        <v>8</v>
      </c>
      <c r="B47" s="67" t="inlineStr">
        <is>
          <t>Task 8</t>
        </is>
      </c>
      <c r="C47" s="58" t="inlineStr">
        <is>
          <t>II. Trang Chủ</t>
        </is>
      </c>
      <c r="D47" s="59" t="inlineStr">
        <is>
          <t>Khối 4 Cam kết dịch vụ Trust Badges (17 Năm, 18T BH, Trọn đời, 12h Giao)</t>
        </is>
      </c>
      <c r="E47" s="58" t="inlineStr">
        <is>
          <t>UX Icon Box Row</t>
        </is>
      </c>
      <c r="F47" s="58" t="inlineStr">
        <is>
          <t>18:00</t>
        </is>
      </c>
      <c r="G47" s="58" t="inlineStr">
        <is>
          <t>18:30</t>
        </is>
      </c>
      <c r="H47" s="67" t="n">
        <v>0.5</v>
      </c>
      <c r="I47" s="58" t="inlineStr">
        <is>
          <t>30 phút</t>
        </is>
      </c>
      <c r="J47" s="60" t="inlineStr">
        <is>
          <t>Hoàn thành</t>
        </is>
      </c>
      <c r="K47" s="59" t="inlineStr">
        <is>
          <t>4 cam kết vàng bảo chứng thương hiệu, icon sắc nét chuẩn mockup</t>
        </is>
      </c>
    </row>
    <row r="48" ht="28" customHeight="1">
      <c r="A48" s="58" t="n">
        <v>9</v>
      </c>
      <c r="B48" s="67" t="inlineStr">
        <is>
          <t>Task 9</t>
        </is>
      </c>
      <c r="C48" s="58" t="inlineStr">
        <is>
          <t>II. Trang Chủ</t>
        </is>
      </c>
      <c r="D48" s="59" t="inlineStr">
        <is>
          <t>Footer 4 Cột hoàn chỉnh (Showroom, Chính sách, Bộ Công Thương, Thanh toán)</t>
        </is>
      </c>
      <c r="E48" s="58" t="inlineStr">
        <is>
          <t>Flatsome Footer</t>
        </is>
      </c>
      <c r="F48" s="58" t="inlineStr">
        <is>
          <t>19:30</t>
        </is>
      </c>
      <c r="G48" s="58" t="inlineStr">
        <is>
          <t>20:45</t>
        </is>
      </c>
      <c r="H48" s="67" t="n">
        <v>1.25</v>
      </c>
      <c r="I48" s="58" t="inlineStr">
        <is>
          <t>75 phút</t>
        </is>
      </c>
      <c r="J48" s="60" t="inlineStr">
        <is>
          <t>Hoàn thành</t>
        </is>
      </c>
      <c r="K48" s="59" t="inlineStr">
        <is>
          <t>Chân trang đầy đủ thông tin pháp lý, bản quyền, địa chỉ showroom 3 miền</t>
        </is>
      </c>
    </row>
    <row r="49" ht="28" customHeight="1">
      <c r="A49" s="58" t="n">
        <v>10</v>
      </c>
      <c r="B49" s="67" t="inlineStr">
        <is>
          <t>Task 10</t>
        </is>
      </c>
      <c r="C49" s="58" t="inlineStr">
        <is>
          <t>II. Trang Chủ</t>
        </is>
      </c>
      <c r="D49" s="59" t="inlineStr">
        <is>
          <t>Kiểm thử Responsive Mobile/Tablet &amp; Tinh chỉnh hiển thị toàn bộ Trang Chủ</t>
        </is>
      </c>
      <c r="E49" s="58" t="inlineStr">
        <is>
          <t>style.css &amp; QA</t>
        </is>
      </c>
      <c r="F49" s="58" t="inlineStr">
        <is>
          <t>20:45</t>
        </is>
      </c>
      <c r="G49" s="58" t="inlineStr">
        <is>
          <t>21:45</t>
        </is>
      </c>
      <c r="H49" s="67" t="n">
        <v>1</v>
      </c>
      <c r="I49" s="58" t="inlineStr">
        <is>
          <t>60 phút</t>
        </is>
      </c>
      <c r="J49" s="60" t="inlineStr">
        <is>
          <t>Hoàn thành</t>
        </is>
      </c>
      <c r="K49" s="59" t="inlineStr">
        <is>
          <t>Chuyển lưới 5 cột sang 2 cột trên điện thoại, menu mobile mượt mà</t>
        </is>
      </c>
    </row>
    <row r="50" ht="28" customHeight="1">
      <c r="A50" s="58" t="n">
        <v>11</v>
      </c>
      <c r="B50" s="67" t="inlineStr">
        <is>
          <t>Task 11</t>
        </is>
      </c>
      <c r="C50" s="58" t="inlineStr">
        <is>
          <t>III. Trang SP</t>
        </is>
      </c>
      <c r="D50" s="59" t="inlineStr">
        <is>
          <t>Breadcrumb điều hướng phân cấp (Trang chủ &gt; SẢN PHẨM / Tên danh mục xe)</t>
        </is>
      </c>
      <c r="E50" s="58" t="inlineStr">
        <is>
          <t>category-none.php</t>
        </is>
      </c>
      <c r="F50" s="58" t="inlineStr">
        <is>
          <t>16:00</t>
        </is>
      </c>
      <c r="G50" s="58" t="inlineStr">
        <is>
          <t>16:25</t>
        </is>
      </c>
      <c r="H50" s="67" t="n">
        <v>0.42</v>
      </c>
      <c r="I50" s="58" t="inlineStr">
        <is>
          <t>25 phút</t>
        </is>
      </c>
      <c r="J50" s="60" t="inlineStr">
        <is>
          <t>Hoàn thành</t>
        </is>
      </c>
      <c r="K50" s="59" t="inlineStr">
        <is>
          <t>Thanh điều hướng phân cấp chuẩn SEO, font 13px xám nhạt tại đỉnh trang</t>
        </is>
      </c>
    </row>
    <row r="51" ht="28" customHeight="1">
      <c r="A51" s="58" t="n">
        <v>12</v>
      </c>
      <c r="B51" s="67" t="inlineStr">
        <is>
          <t>Task 13+14+SP1</t>
        </is>
      </c>
      <c r="C51" s="58" t="inlineStr">
        <is>
          <t>III. Trang SP</t>
        </is>
      </c>
      <c r="D51" s="59" t="inlineStr">
        <is>
          <t>Module Bộ Lọc Ngang độc lập (gobike-product-filter.php), 5 Khoảng Giá, Sắp xếp radio</t>
        </is>
      </c>
      <c r="E51" s="58" t="inlineStr">
        <is>
          <t>gobike-product-filter.php</t>
        </is>
      </c>
      <c r="F51" s="58" t="inlineStr">
        <is>
          <t>08:00</t>
        </is>
      </c>
      <c r="G51" s="58" t="inlineStr">
        <is>
          <t>09:30</t>
        </is>
      </c>
      <c r="H51" s="67" t="n">
        <v>2.33</v>
      </c>
      <c r="I51" s="58" t="inlineStr">
        <is>
          <t>140 phút</t>
        </is>
      </c>
      <c r="J51" s="60" t="inlineStr">
        <is>
          <t>Hoàn thành</t>
        </is>
      </c>
      <c r="K51" s="59" t="inlineStr">
        <is>
          <t>Gói gọn 100% PHP/CSS/JS 1 file; 5 nấc giá VNĐ; nút Bỏ bộ lọc; no-products chuẩn</t>
        </is>
      </c>
    </row>
    <row r="52" ht="28" customHeight="1">
      <c r="A52" s="58" t="n">
        <v>13</v>
      </c>
      <c r="B52" s="67" t="inlineStr">
        <is>
          <t>Task 12+17+SP2</t>
        </is>
      </c>
      <c r="C52" s="58" t="inlineStr">
        <is>
          <t>III. Trang SP</t>
        </is>
      </c>
      <c r="D52" s="59" t="inlineStr">
        <is>
          <t>Cặp Banner zoom từ tâm (0-&gt;1) + Khối SEO chân trang nét đứt + Tích hợp SCF Theme Settings</t>
        </is>
      </c>
      <c r="E52" s="58" t="inlineStr">
        <is>
          <t>functions.php &amp; CSS</t>
        </is>
      </c>
      <c r="F52" s="58" t="inlineStr">
        <is>
          <t>09:30</t>
        </is>
      </c>
      <c r="G52" s="58" t="inlineStr">
        <is>
          <t>11:15</t>
        </is>
      </c>
      <c r="H52" s="67" t="n">
        <v>1.75</v>
      </c>
      <c r="I52" s="58" t="inlineStr">
        <is>
          <t>105 phút</t>
        </is>
      </c>
      <c r="J52" s="60" t="inlineStr">
        <is>
          <t>Hoàn thành</t>
        </is>
      </c>
      <c r="K52" s="59" t="inlineStr">
        <is>
          <t>2 Banner zoom animation trung tâm; tiêu đề SEO gạch nét đứt #ccc; fix bug functions.php</t>
        </is>
      </c>
    </row>
    <row r="53" ht="28" customHeight="1">
      <c r="A53" s="58" t="n">
        <v>14</v>
      </c>
      <c r="B53" s="67" t="inlineStr">
        <is>
          <t>Task 15-19</t>
        </is>
      </c>
      <c r="C53" s="58" t="inlineStr">
        <is>
          <t>III. Trang SP</t>
        </is>
      </c>
      <c r="D53" s="59" t="inlineStr">
        <is>
          <t>Đồng bộ Card sản phẩm xe đạp, Phân trang đỏ bo góc, 4 Badges &amp; Responsive Trang SP</t>
        </is>
      </c>
      <c r="E53" s="58" t="inlineStr">
        <is>
          <t>category-none.php &amp; CSS</t>
        </is>
      </c>
      <c r="F53" s="58" t="inlineStr">
        <is>
          <t>Tích hợp</t>
        </is>
      </c>
      <c r="G53" s="58" t="inlineStr">
        <is>
          <t>Đồng bộ</t>
        </is>
      </c>
      <c r="H53" s="67" t="n">
        <v>0</v>
      </c>
      <c r="I53" s="58" t="inlineStr">
        <is>
          <t>Đã tích hợp</t>
        </is>
      </c>
      <c r="J53" s="60" t="inlineStr">
        <is>
          <t>Hoàn thành</t>
        </is>
      </c>
      <c r="K53" s="59" t="inlineStr">
        <is>
          <t>Hoàn thành 100% giao diện Catalog Archive chuẩn mockup, pixel-perfect</t>
        </is>
      </c>
    </row>
    <row r="54" ht="28" customHeight="1">
      <c r="A54" s="61" t="inlineStr">
        <is>
          <t>TỔNG THỜI GIAN HOÀN THIỆN TẤT CẢ CÁC TASK NHỎ (GIỜ):</t>
        </is>
      </c>
      <c r="B54" s="75" t="n"/>
      <c r="C54" s="75" t="n"/>
      <c r="D54" s="75" t="n"/>
      <c r="E54" s="75" t="n"/>
      <c r="F54" s="75" t="n"/>
      <c r="G54" s="76" t="n"/>
      <c r="H54" s="63">
        <f>SUM(H40:H53)</f>
        <v/>
      </c>
      <c r="I54" s="63" t="inlineStr">
        <is>
          <t>975 Phút (~16.25h)</t>
        </is>
      </c>
      <c r="J54" s="64" t="inlineStr">
        <is>
          <t>100% HOÀN THÀNH</t>
        </is>
      </c>
      <c r="K54" s="68" t="inlineStr">
        <is>
          <t>Đã nghiệm thu toàn diện Trang Chủ &amp; Trang Sản Phẩm</t>
        </is>
      </c>
    </row>
  </sheetData>
  <mergeCells count="7">
    <mergeCell ref="A36:G36"/>
    <mergeCell ref="A38:K38"/>
    <mergeCell ref="A2:K2"/>
    <mergeCell ref="A30:G30"/>
    <mergeCell ref="A54:G54"/>
    <mergeCell ref="A32:K32"/>
    <mergeCell ref="A1:K1"/>
  </mergeCells>
  <conditionalFormatting sqref="I5:I35">
    <cfRule type="cellIs" priority="1" operator="equal" dxfId="0">
      <formula>"Hoàn thành"</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2"/>
  <sheetViews>
    <sheetView showGridLines="1" workbookViewId="0">
      <selection activeCell="A1" sqref="A1"/>
    </sheetView>
  </sheetViews>
  <sheetFormatPr baseColWidth="8" defaultRowHeight="15"/>
  <cols>
    <col width="10" customWidth="1" min="1" max="1"/>
    <col width="30" customWidth="1" min="2" max="2"/>
    <col width="32" customWidth="1" min="3" max="3"/>
    <col width="38" customWidth="1" min="4" max="4"/>
    <col width="42" customWidth="1" min="5" max="5"/>
    <col width="28" customWidth="1" min="6" max="6"/>
    <col width="18" customWidth="1" min="7" max="7"/>
  </cols>
  <sheetData>
    <row r="1">
      <c r="A1" s="32" t="inlineStr">
        <is>
          <t>QUY TRÌNH 5 BƯỚC XÂY DỰNG &amp; BẺ NHỎ TASK TỪ GIAO DIỆN THIẾT KẾ</t>
        </is>
      </c>
    </row>
    <row r="2">
      <c r="A2" s="33" t="inlineStr">
        <is>
          <t>Dự án: GOBIKE (E-commerce Xe Đạp Trợ Lực Điện) | Nền tảng: WordPress 6.x + Flatsome Theme</t>
        </is>
      </c>
    </row>
    <row r="4">
      <c r="A4" s="34" t="inlineStr">
        <is>
          <t>I. QUY TRÌNH 5 BƯỚC CHUẨN XÂY DỰNG TASK KỸ THUẬT (DEVELOPER WORKFLOW)</t>
        </is>
      </c>
    </row>
    <row r="5" ht="28" customHeight="1">
      <c r="A5" s="3" t="inlineStr">
        <is>
          <t>Bước</t>
        </is>
      </c>
      <c r="B5" s="3" t="inlineStr">
        <is>
          <t>Giai Đoạn</t>
        </is>
      </c>
      <c r="C5" s="3" t="inlineStr">
        <is>
          <t>Mục Tiêu Trọng Tâm</t>
        </is>
      </c>
      <c r="D5" s="3" t="inlineStr">
        <is>
          <t>Hành Động Cụ Thể (Action Items)</t>
        </is>
      </c>
      <c r="E5" s="3" t="inlineStr">
        <is>
          <t>Đầu Ra Kỹ Thuật (Deliverables)</t>
        </is>
      </c>
      <c r="F5" s="3" t="inlineStr">
        <is>
          <t>Lưu Ý &amp; Kinh Nghiệm Dev</t>
        </is>
      </c>
    </row>
    <row r="6" ht="55" customHeight="1">
      <c r="A6" s="35" t="inlineStr">
        <is>
          <t>Bước 1</t>
        </is>
      </c>
      <c r="B6" s="36" t="inlineStr">
        <is>
          <t>Phân rã giao diện
(UI Decomposition)</t>
        </is>
      </c>
      <c r="C6" s="37" t="inlineStr">
        <is>
          <t>Bổ dọc giao diện từ trên xuống dưới và chia nhỏ các khối độc lập.</t>
        </is>
      </c>
      <c r="D6" s="37" t="inlineStr">
        <is>
          <t>1. Phân chia các Section: Header -&gt; Hero Slider -&gt; Flash Sale -&gt; Categories -&gt; News -&gt; Footer.
2. Phân tích phân cấp bên trong: Container -&gt; Row -&gt; Column -&gt; Element.</t>
        </is>
      </c>
      <c r="E6" s="37" t="inlineStr">
        <is>
          <t>Sơ đồ Wireframe cấu trúc trang và danh sách các section độc lập.</t>
        </is>
      </c>
      <c r="F6" s="37" t="inlineStr">
        <is>
          <t>Tránh gộp chung nhiều khối vào 1 section lớn để dễ tái sử dụng và tinh chỉnh responsive.</t>
        </is>
      </c>
    </row>
    <row r="7" ht="55" customHeight="1">
      <c r="A7" s="38" t="inlineStr">
        <is>
          <t>Bước 2</t>
        </is>
      </c>
      <c r="B7" s="39" t="inlineStr">
        <is>
          <t>Phân loại cơ chế kỹ thuật
(Component Classification)</t>
        </is>
      </c>
      <c r="C7" s="40" t="inlineStr">
        <is>
          <t>Xác định giải pháp kỹ thuật tối ưu nhất cho từng khối.</t>
        </is>
      </c>
      <c r="D7" s="40" t="inlineStr">
        <is>
          <t>Phân nhóm thành 3 loại:
- Kéo thả Native: Flatsome Header, UX Builder, Footer.
- Dữ liệu động: Query sản phẩm WooCommerce, danh mục xe.
- Custom Code: Shortcode 5 cột (1 Big + 8 Small), Tabs Flash Sale.</t>
        </is>
      </c>
      <c r="E7" s="40" t="inlineStr">
        <is>
          <t>Bản phân loại giải pháp kỹ thuật (Native vs Custom Shortcode vs CSS).</t>
        </is>
      </c>
      <c r="F7" s="40" t="inlineStr">
        <is>
          <t>Ưu tiên tính năng sẵn có của Flatsome trước, chỉ viết code PHP tùy biến khi giao diện quá đặc thù.</t>
        </is>
      </c>
    </row>
    <row r="8" ht="55" customHeight="1">
      <c r="A8" s="35" t="inlineStr">
        <is>
          <t>Bước 3</t>
        </is>
      </c>
      <c r="B8" s="36" t="inlineStr">
        <is>
          <t>Xác định điều kiện tiên quyết
(Dependencies &amp; Setup)</t>
        </is>
      </c>
      <c r="C8" s="37" t="inlineStr">
        <is>
          <t>Chuẩn bị dữ liệu nền tảng trước khi xây dựng giao diện hiển thị.</t>
        </is>
      </c>
      <c r="D8" s="37" t="inlineStr">
        <is>
          <t>1. Tạo Taxonomy danh mục xe: ADO, Phoenix, Học sinh, Địa hình...
2. Tạo WooCommerce Attributes: Pin (pa_pin), Động cơ (pa_dong-co), Quãng đường (pa_quang-duong).
3. Nhập 10-15 sản phẩm mẫu có giá khuyến mãi và ảnh chất lượng.</t>
        </is>
      </c>
      <c r="E8" s="37" t="inlineStr">
        <is>
          <t>Cơ sở dữ liệu sản phẩm mẫu và bộ thuộc tính hoàn chỉnh trong WP-Admin.</t>
        </is>
      </c>
      <c r="F8" s="37" t="inlineStr">
        <is>
          <t>Nếu không có dữ liệu mẫu trước, việc kiểm tra query sản phẩm và CSS hiển thị sẽ rất mất thời gian.</t>
        </is>
      </c>
    </row>
    <row r="9" ht="55" customHeight="1">
      <c r="A9" s="38" t="inlineStr">
        <is>
          <t>Bước 4</t>
        </is>
      </c>
      <c r="B9" s="39" t="inlineStr">
        <is>
          <t>Định nghĩa chi tiết Task
(Task Definition &amp; DoD)</t>
        </is>
      </c>
      <c r="C9" s="40" t="inlineStr">
        <is>
          <t>Mô tả rõ ràng yêu cầu kỹ thuật và tiêu chí nghiệm thu hoàn thành.</t>
        </is>
      </c>
      <c r="D9" s="40" t="inlineStr">
        <is>
          <t>Mỗi Task cần xác định rõ:
- Mã Task &amp; Tên công việc.
- File xử lý (functions.php, style.css hay UX Builder).
- Tiêu chí hoàn thành (Definition of Done - DoD).</t>
        </is>
      </c>
      <c r="E9" s="40" t="inlineStr">
        <is>
          <t>Danh mục Task chi tiết có tiêu chí nghiệm thu rõ ràng.</t>
        </is>
      </c>
      <c r="F9" s="40" t="inlineStr">
        <is>
          <t>Tiêu chí nghiệm thu phải bao gồm cả độ chính xác giao diện (Pixel) lẫn tính năng hoạt động mượt mà.</t>
        </is>
      </c>
    </row>
    <row r="10" ht="55" customHeight="1">
      <c r="A10" s="35" t="inlineStr">
        <is>
          <t>Bước 5</t>
        </is>
      </c>
      <c r="B10" s="36" t="inlineStr">
        <is>
          <t>Định lượng &amp; Đưa vào Timesheet
(Estimation &amp; Logging)</t>
        </is>
      </c>
      <c r="C10" s="37" t="inlineStr">
        <is>
          <t>Ước tính thời gian thực hiện và theo dõi tiến độ thực tế.</t>
        </is>
      </c>
      <c r="D10" s="37" t="inlineStr">
        <is>
          <t>1. Ước lượng số giờ hoàn thành cho từng task.
2. Nhập vào bảng Timesheet quản lý.
3. Ghi nhận thời gian Bắt đầu, Kết thúc thực tế và rút kinh nghiệm.</t>
        </is>
      </c>
      <c r="E10" s="37" t="inlineStr">
        <is>
          <t>Bảng theo dõi thời gian và nhật ký kỹ thuật đồng bộ giữa Excel và Markdown.</t>
        </is>
      </c>
      <c r="F10" s="37" t="inlineStr">
        <is>
          <t>Ghi chú lại các đoạn code hay và thủ thuật CSS để tái sử dụng cho các dự án sau.</t>
        </is>
      </c>
    </row>
    <row r="13">
      <c r="A13" s="34" t="inlineStr">
        <is>
          <t>II. MA TRẬN BẺ KHỐI &amp; PHÂN LOẠI KỸ THUẬT TRANG CHỦ GOBIKE</t>
        </is>
      </c>
    </row>
    <row r="14" ht="28" customHeight="1">
      <c r="A14" s="3" t="inlineStr">
        <is>
          <t>STT</t>
        </is>
      </c>
      <c r="B14" s="3" t="inlineStr">
        <is>
          <t>Tên Khối Giao Diện</t>
        </is>
      </c>
      <c r="C14" s="3" t="inlineStr">
        <is>
          <t>Phân Loại Thành Phần</t>
        </is>
      </c>
      <c r="D14" s="3" t="inlineStr">
        <is>
          <t>Công Cụ / File Xử Lý</t>
        </is>
      </c>
      <c r="E14" s="3" t="inlineStr">
        <is>
          <t>Phương Thức Triển Khai Kỹ Thuật</t>
        </is>
      </c>
      <c r="F14" s="3" t="inlineStr">
        <is>
          <t>Độ Phức Tạp</t>
        </is>
      </c>
      <c r="G14" s="53" t="inlineStr">
        <is>
          <t>Trạng Thái</t>
        </is>
      </c>
    </row>
    <row r="15" ht="25" customHeight="1">
      <c r="A15" s="41" t="n">
        <v>1</v>
      </c>
      <c r="B15" s="40" t="inlineStr">
        <is>
          <t>Header Đa Tầng (Top Bar đỏ + Main Header đen)</t>
        </is>
      </c>
      <c r="C15" s="40" t="inlineStr">
        <is>
          <t>Flatsome Native</t>
        </is>
      </c>
      <c r="D15" s="40" t="inlineStr">
        <is>
          <t>Flatsome Header Builder</t>
        </is>
      </c>
      <c r="E15" s="40" t="inlineStr">
        <is>
          <t>Kéo thả Top Bar (#d0021b) + Main Bar (#111111) + Form Live Search + Icons</t>
        </is>
      </c>
      <c r="F15" s="42" t="inlineStr">
        <is>
          <t>Dễ</t>
        </is>
      </c>
      <c r="G15" s="54" t="inlineStr">
        <is>
          <t>100% Hoàn thành</t>
        </is>
      </c>
    </row>
    <row r="16" ht="25" customHeight="1">
      <c r="A16" s="43" t="n">
        <v>2</v>
      </c>
      <c r="B16" s="37" t="inlineStr">
        <is>
          <t>Main Navigation Menu (Dải menu đỏ chính)</t>
        </is>
      </c>
      <c r="C16" s="37" t="inlineStr">
        <is>
          <t>Flatsome Native</t>
        </is>
      </c>
      <c r="D16" s="37" t="inlineStr">
        <is>
          <t>WP Menu + Customizer</t>
        </is>
      </c>
      <c r="E16" s="37" t="inlineStr">
        <is>
          <t>Tạo Menu chính màu đỏ đô #d0021b, liên kết danh mục xe và kích hoạt Mega Menu</t>
        </is>
      </c>
      <c r="F16" s="44" t="inlineStr">
        <is>
          <t>Dễ</t>
        </is>
      </c>
      <c r="G16" s="54" t="inlineStr">
        <is>
          <t>100% Hoàn thành</t>
        </is>
      </c>
    </row>
    <row r="17" ht="25" customHeight="1">
      <c r="A17" s="41" t="n">
        <v>3</v>
      </c>
      <c r="B17" s="40" t="inlineStr">
        <is>
          <t>Hero Section (Slider chính + Tin tức + Banner 1H)</t>
        </is>
      </c>
      <c r="C17" s="40" t="inlineStr">
        <is>
          <t>UX Builder Layout</t>
        </is>
      </c>
      <c r="D17" s="40" t="inlineStr">
        <is>
          <t>Flatsome UX Builder</t>
        </is>
      </c>
      <c r="E17" s="40" t="inlineStr">
        <is>
          <t>Row 2 cột (8/12 &amp; 4/12): Slider banner khuyến mãi + Widget Blog posts + Banner cam</t>
        </is>
      </c>
      <c r="F17" s="45" t="inlineStr">
        <is>
          <t>Trung bình</t>
        </is>
      </c>
      <c r="G17" s="54" t="inlineStr">
        <is>
          <t>100% Hoàn thành</t>
        </is>
      </c>
    </row>
    <row r="18" ht="25" customHeight="1">
      <c r="A18" s="43" t="n">
        <v>4</v>
      </c>
      <c r="B18" s="37" t="inlineStr">
        <is>
          <t>Giờ Vàng - Giá Cực Sốc (19h-21h Flash Sale)</t>
        </is>
      </c>
      <c r="C18" s="37" t="inlineStr">
        <is>
          <t>Custom UX + Data</t>
        </is>
      </c>
      <c r="D18" s="37" t="inlineStr">
        <is>
          <t>UX Builder + Tabs + Shortcode</t>
        </is>
      </c>
      <c r="E18" s="37" t="inlineStr">
        <is>
          <t>Tabs mốc thời gian (17h, 19h...) + Lưới 5 sản phẩm Flash sale kèm thanh tiến độ bán</t>
        </is>
      </c>
      <c r="F18" s="46" t="inlineStr">
        <is>
          <t>Khó</t>
        </is>
      </c>
      <c r="G18" s="54" t="inlineStr">
        <is>
          <t>100% Hoàn thành</t>
        </is>
      </c>
    </row>
    <row r="19" ht="25" customHeight="1">
      <c r="A19" s="41" t="n">
        <v>5</v>
      </c>
      <c r="B19" s="40" t="inlineStr">
        <is>
          <t>Khối Danh Mục Sản Phẩm (ADO, Phoenix, Học sinh...)</t>
        </is>
      </c>
      <c r="C19" s="40" t="inlineStr">
        <is>
          <t>Custom Shortcode PHP</t>
        </is>
      </c>
      <c r="D19" s="40" t="inlineStr">
        <is>
          <t>flatsome-child/functions.php + style.css</t>
        </is>
      </c>
      <c r="E19" s="40" t="inlineStr">
        <is>
          <t>Shortcode [gobike_category_block]: Hệ lưới 5 cột (1 Big Item 40% + 8 Standard Items)</t>
        </is>
      </c>
      <c r="F19" s="47" t="inlineStr">
        <is>
          <t>Khó</t>
        </is>
      </c>
      <c r="G19" s="54" t="inlineStr">
        <is>
          <t>100% Hoàn thành</t>
        </is>
      </c>
    </row>
    <row r="20" ht="25" customHeight="1">
      <c r="A20" s="43" t="n">
        <v>6</v>
      </c>
      <c r="B20" s="37" t="inlineStr">
        <is>
          <t>Section Tin Tức - Bài Viết (Blog Grid 4 cột)</t>
        </is>
      </c>
      <c r="C20" s="37" t="inlineStr">
        <is>
          <t>UX Builder Layout</t>
        </is>
      </c>
      <c r="D20" s="37" t="inlineStr">
        <is>
          <t>UX Builder (Blog Posts Element)</t>
        </is>
      </c>
      <c r="E20" s="37" t="inlineStr">
        <is>
          <t>Hiển thị 4 bài viết mới nhất: ảnh đại diện, tiêu đề, ngày đăng và nút Xem tất cả</t>
        </is>
      </c>
      <c r="F20" s="44" t="inlineStr">
        <is>
          <t>Dễ</t>
        </is>
      </c>
      <c r="G20" s="54" t="inlineStr">
        <is>
          <t>100% Hoàn thành</t>
        </is>
      </c>
    </row>
    <row r="21" ht="25" customHeight="1">
      <c r="A21" s="41" t="n">
        <v>7</v>
      </c>
      <c r="B21" s="40" t="inlineStr">
        <is>
          <t>Khối 4 Cam Kết Dịch Vụ (Trust Badges)</t>
        </is>
      </c>
      <c r="C21" s="40" t="inlineStr">
        <is>
          <t>UX Builder Layout</t>
        </is>
      </c>
      <c r="D21" s="40" t="inlineStr">
        <is>
          <t>UX Builder (Icon Box Row)</t>
        </is>
      </c>
      <c r="E21" s="40" t="inlineStr">
        <is>
          <t>Lưới 4 cột: 17 Năm kinh nghiệm, Bảo hành 18 tháng, Bảo dưỡng trọn đời, Giao hàng 12h</t>
        </is>
      </c>
      <c r="F21" s="42" t="inlineStr">
        <is>
          <t>Dễ</t>
        </is>
      </c>
      <c r="G21" s="54" t="inlineStr">
        <is>
          <t>100% Hoàn thành</t>
        </is>
      </c>
    </row>
    <row r="22" ht="25" customHeight="1">
      <c r="A22" s="43" t="n">
        <v>8</v>
      </c>
      <c r="B22" s="37" t="inlineStr">
        <is>
          <t>Footer 4 Cột &amp; Form Bản Quyền</t>
        </is>
      </c>
      <c r="C22" s="37" t="inlineStr">
        <is>
          <t>Flatsome Native</t>
        </is>
      </c>
      <c r="D22" s="37" t="inlineStr">
        <is>
          <t>Flatsome Footer Builder + Widgets</t>
        </is>
      </c>
      <c r="E22" s="37" t="inlineStr">
        <is>
          <t>Showroom 3 miền, Chính sách mua hàng, Logo Bộ Công Thương, Cổng thanh toán, Form email</t>
        </is>
      </c>
      <c r="F22" s="48" t="inlineStr">
        <is>
          <t>Trung bình</t>
        </is>
      </c>
      <c r="G22" s="54" t="inlineStr">
        <is>
          <t>100% Hoàn thành</t>
        </is>
      </c>
    </row>
    <row r="23" ht="25" customHeight="1">
      <c r="A23" s="41" t="n">
        <v>9</v>
      </c>
      <c r="B23" s="40" t="inlineStr">
        <is>
          <t>Responsive Mobile / Tablet</t>
        </is>
      </c>
      <c r="C23" s="40" t="inlineStr">
        <is>
          <t>Custom CSS</t>
        </is>
      </c>
      <c r="D23" s="40" t="inlineStr">
        <is>
          <t>flatsome-child/style.css (Media Queries)</t>
        </is>
      </c>
      <c r="E23" s="40" t="inlineStr">
        <is>
          <t>Chuyển lưới 5 cột thành 2 cột trên điện thoại, hỗ trợ vuốt trượt touch mượt mà</t>
        </is>
      </c>
      <c r="F23" s="45" t="inlineStr">
        <is>
          <t>Trung bình</t>
        </is>
      </c>
      <c r="G23" s="54" t="inlineStr">
        <is>
          <t>100% Hoàn thành</t>
        </is>
      </c>
    </row>
    <row r="24" ht="25" customHeight="1">
      <c r="A24" s="43" t="n">
        <v>10</v>
      </c>
      <c r="B24" s="37" t="inlineStr">
        <is>
          <t>Kiểm Thử &amp; Tinh Chỉnh Hiển Thị Toàn Trang</t>
        </is>
      </c>
      <c r="C24" s="37" t="inlineStr">
        <is>
          <t>QA &amp; Polish</t>
        </is>
      </c>
      <c r="D24" s="37" t="inlineStr">
        <is>
          <t>Trình duyệt + DevTools</t>
        </is>
      </c>
      <c r="E24" s="37" t="inlineStr">
        <is>
          <t>Kiểm tra pixel-perfect theo mockup, rà soát liên kết và tốc độ tải trang</t>
        </is>
      </c>
      <c r="F24" s="48" t="inlineStr">
        <is>
          <t>Trung bình</t>
        </is>
      </c>
      <c r="G24" s="54" t="inlineStr">
        <is>
          <t>100% Hoàn thành</t>
        </is>
      </c>
    </row>
    <row r="26">
      <c r="A26" s="34" t="inlineStr">
        <is>
          <t>III. MA TRẬN BẺ KHỐI &amp; KỸ THUẬT TRANG SẢN PHẨM (CATALOG ARCHIVE)</t>
        </is>
      </c>
    </row>
    <row r="27" ht="28" customHeight="1">
      <c r="A27" s="3" t="inlineStr">
        <is>
          <t>STT</t>
        </is>
      </c>
      <c r="B27" s="3" t="inlineStr">
        <is>
          <t>Tên Khối Giao Diện</t>
        </is>
      </c>
      <c r="C27" s="3" t="inlineStr">
        <is>
          <t>Phân Loại Thành Phần</t>
        </is>
      </c>
      <c r="D27" s="3" t="inlineStr">
        <is>
          <t>File / Template Can Thiệp</t>
        </is>
      </c>
      <c r="E27" s="3" t="inlineStr">
        <is>
          <t>Phương Thức Triển Khai Kỹ Thuật</t>
        </is>
      </c>
      <c r="F27" s="3" t="inlineStr">
        <is>
          <t>Độ Phức Tạp</t>
        </is>
      </c>
      <c r="G27" s="53" t="inlineStr">
        <is>
          <t>Trạng Thái</t>
        </is>
      </c>
    </row>
    <row r="28" ht="26" customHeight="1">
      <c r="A28" s="43" t="n">
        <v>1</v>
      </c>
      <c r="B28" s="37" t="inlineStr">
        <is>
          <t>Breadcrumb Điều Hướng</t>
        </is>
      </c>
      <c r="C28" s="37" t="inlineStr">
        <is>
          <t>WooCommerce Hook</t>
        </is>
      </c>
      <c r="D28" s="37" t="inlineStr">
        <is>
          <t>woocommerce/layouts/category-none.php</t>
        </is>
      </c>
      <c r="E28" s="37" t="inlineStr">
        <is>
          <t>Hook woocommerce_before_main_content + CSS font 13px màu xám nhạt</t>
        </is>
      </c>
      <c r="F28" s="44" t="inlineStr">
        <is>
          <t>Dễ</t>
        </is>
      </c>
      <c r="G28" s="54" t="inlineStr">
        <is>
          <t>100% Hoàn thành</t>
        </is>
      </c>
    </row>
    <row r="29" ht="26" customHeight="1">
      <c r="A29" s="41" t="n">
        <v>2</v>
      </c>
      <c r="B29" s="40" t="inlineStr">
        <is>
          <t>Cặp Banner Tiện Ích (Dual 50-50)</t>
        </is>
      </c>
      <c r="C29" s="40" t="inlineStr">
        <is>
          <t>Template PHP / UX Block</t>
        </is>
      </c>
      <c r="D29" s="40" t="inlineStr">
        <is>
          <t>functions.php &amp; category-none.php &amp; style.css</t>
        </is>
      </c>
      <c r="E29" s="40" t="inlineStr">
        <is>
          <t>2 Banner tiện ích SCF Theme Settings, render HTML Flatsome native (row, col medium-6), hiệu ứng CSS Animation zoom từ tâm 0 -&gt; 1 mượt mà</t>
        </is>
      </c>
      <c r="F29" s="45" t="inlineStr">
        <is>
          <t>Trung bình</t>
        </is>
      </c>
      <c r="G29" s="54" t="inlineStr">
        <is>
          <t>100% Hoàn thành</t>
        </is>
      </c>
    </row>
    <row r="30" ht="26" customHeight="1">
      <c r="A30" s="43" t="n">
        <v>3</v>
      </c>
      <c r="B30" s="37" t="inlineStr">
        <is>
          <t>Tiêu Đề H1 &amp; Bộ Lọc Ngang Dropdowns</t>
        </is>
      </c>
      <c r="C30" s="37" t="inlineStr">
        <is>
          <t>Widget Sidebar + Flexbox</t>
        </is>
      </c>
      <c r="D30" s="37" t="inlineStr">
        <is>
          <t>gobike-product-filter.php &amp; functions.php</t>
        </is>
      </c>
      <c r="E30" s="37" t="inlineStr">
        <is>
          <t>Đóng gói module độc lập 1 file gom toàn bộ PHP + CSS + JS, lọc 5 khoảng giá VNĐ, nút Bỏ hết bộ lọc, xử lý trạng thái không có sản phẩm</t>
        </is>
      </c>
      <c r="F30" s="46" t="inlineStr">
        <is>
          <t>Khó</t>
        </is>
      </c>
      <c r="G30" s="54" t="inlineStr">
        <is>
          <t>100% Hoàn thành</t>
        </is>
      </c>
    </row>
    <row r="31" ht="26" customHeight="1">
      <c r="A31" s="41" t="n">
        <v>4</v>
      </c>
      <c r="B31" s="40" t="inlineStr">
        <is>
          <t>Thanh Sắp Xếp Radio Buttons</t>
        </is>
      </c>
      <c r="C31" s="40" t="inlineStr">
        <is>
          <t>Custom Ordering Form</t>
        </is>
      </c>
      <c r="D31" s="40" t="inlineStr">
        <is>
          <t>gobike-product-filter.php</t>
        </is>
      </c>
      <c r="E31" s="40" t="inlineStr">
        <is>
          <t>Đồng bộ thanh sắp xếp radio buttons (Mặc định, Giá tăng/giảm, Mới nhất, Bán chạy, Tên A-Z) tích hợp chung trong module gobike-product-filter.php</t>
        </is>
      </c>
      <c r="F31" s="47" t="inlineStr">
        <is>
          <t>Khó</t>
        </is>
      </c>
      <c r="G31" s="54" t="inlineStr">
        <is>
          <t>100% Hoàn thành</t>
        </is>
      </c>
    </row>
    <row r="32" ht="26" customHeight="1">
      <c r="A32" s="43" t="n">
        <v>5</v>
      </c>
      <c r="B32" s="37" t="inlineStr">
        <is>
          <t>Lưới 5 Cột x 20 Sản Phẩm</t>
        </is>
      </c>
      <c r="C32" s="37" t="inlineStr">
        <is>
          <t>Template Loop Override</t>
        </is>
      </c>
      <c r="D32" s="37" t="inlineStr">
        <is>
          <t>woocommerce/content-product.php &amp; style.css</t>
        </is>
      </c>
      <c r="E32" s="37" t="inlineStr">
        <is>
          <t>Xóa ACF laptop cũ, in thuộc tính pin/động cơ xe đạp, nhãn ⚡ Giảm X%, CSS lưới 5 cột</t>
        </is>
      </c>
      <c r="F32" s="46" t="inlineStr">
        <is>
          <t>Khó</t>
        </is>
      </c>
      <c r="G32" s="54" t="inlineStr">
        <is>
          <t>100% Hoàn thành</t>
        </is>
      </c>
    </row>
    <row r="33" ht="26" customHeight="1">
      <c r="A33" s="41" t="n">
        <v>6</v>
      </c>
      <c r="B33" s="40" t="inlineStr">
        <is>
          <t>Thanh Phân Trang Màu Đỏ Bo Góc</t>
        </is>
      </c>
      <c r="C33" s="40" t="inlineStr">
        <is>
          <t>WooCommerce Pagination</t>
        </is>
      </c>
      <c r="D33" s="40" t="inlineStr">
        <is>
          <t>category-none.php &amp; style.css</t>
        </is>
      </c>
      <c r="E33" s="40" t="inlineStr">
        <is>
          <t>Hook woocommerce_after_shop_loop (woocommerce_pagination) + CSS ô vuông đỏ #d0021b</t>
        </is>
      </c>
      <c r="F33" s="42" t="inlineStr">
        <is>
          <t>Dễ</t>
        </is>
      </c>
      <c r="G33" s="54" t="inlineStr">
        <is>
          <t>100% Hoàn thành</t>
        </is>
      </c>
    </row>
    <row r="34" ht="26" customHeight="1">
      <c r="A34" s="43" t="n">
        <v>7</v>
      </c>
      <c r="B34" s="37" t="inlineStr">
        <is>
          <t>Khối Mô Tả SEO Chân Trang</t>
        </is>
      </c>
      <c r="C34" s="37" t="inlineStr">
        <is>
          <t>Term Description / Hook</t>
        </is>
      </c>
      <c r="D34" s="37" t="inlineStr">
        <is>
          <t>functions.php &amp; category-none.php &amp; style.css</t>
        </is>
      </c>
      <c r="E34" s="37" t="inlineStr">
        <is>
          <t>Khối mô tả hệ thống Aimos/Gobike cấu hình SCF Theme Settings, tiêu đề gạch viền nét đứt (border-bottom: 1px dashed #ccc), responsive chuẩn ảnh mẫu</t>
        </is>
      </c>
      <c r="F34" s="44" t="inlineStr">
        <is>
          <t>Dễ</t>
        </is>
      </c>
      <c r="G34" s="54" t="inlineStr">
        <is>
          <t>100% Hoàn thành</t>
        </is>
      </c>
    </row>
    <row r="35" ht="26" customHeight="1">
      <c r="A35" s="41" t="n">
        <v>8</v>
      </c>
      <c r="B35" s="40" t="inlineStr">
        <is>
          <t>Dải 4 Huy Hiệu Cam Kết Vàng</t>
        </is>
      </c>
      <c r="C35" s="40" t="inlineStr">
        <is>
          <t>UX Block / Shared HTML</t>
        </is>
      </c>
      <c r="D35" s="40" t="inlineStr">
        <is>
          <t>category-none.php (Hook sau phân trang)</t>
        </is>
      </c>
      <c r="E35" s="40" t="inlineStr">
        <is>
          <t>Khối 4 icon: 17 Năm, 15 Tháng BH, Bảo trì trọn đời, Giao hàng 12h</t>
        </is>
      </c>
      <c r="F35" s="42" t="inlineStr">
        <is>
          <t>Dễ</t>
        </is>
      </c>
      <c r="G35" s="54" t="inlineStr">
        <is>
          <t>100% Hoàn thành</t>
        </is>
      </c>
    </row>
    <row r="36" ht="26" customHeight="1">
      <c r="A36" s="43" t="n">
        <v>9</v>
      </c>
      <c r="B36" s="37" t="inlineStr">
        <is>
          <t>Kiểm Thử Responsive Mobile/Tablet</t>
        </is>
      </c>
      <c r="C36" s="37" t="inlineStr">
        <is>
          <t>CSS Media Queries</t>
        </is>
      </c>
      <c r="D36" s="37" t="inlineStr">
        <is>
          <t>flatsome-child/style.css</t>
        </is>
      </c>
      <c r="E36" s="37" t="inlineStr">
        <is>
          <t>Co giãn lưới 5 cột thành 2 cột, tối ưu panel lọc cho màn hình cảm ứng điện thoại</t>
        </is>
      </c>
      <c r="F36" s="48" t="inlineStr">
        <is>
          <t>Trung bình</t>
        </is>
      </c>
      <c r="G36" s="54" t="inlineStr">
        <is>
          <t>100% Hoàn thành</t>
        </is>
      </c>
    </row>
    <row r="38" ht="26" customHeight="1">
      <c r="A38" s="77" t="inlineStr">
        <is>
          <t>IV. MA TRẬN BẺ KHỐI &amp; KỸ THUẬT FOOTER CHUẨN MOCKUP (CHÂN TRANG TOÀN WEBSITE)</t>
        </is>
      </c>
    </row>
    <row r="39" ht="24" customHeight="1">
      <c r="A39" s="78" t="inlineStr">
        <is>
          <t>STT</t>
        </is>
      </c>
      <c r="B39" s="78" t="inlineStr">
        <is>
          <t>Tên Khối Giao Diện</t>
        </is>
      </c>
      <c r="C39" s="78" t="inlineStr">
        <is>
          <t>Phân Loại Thành Phần</t>
        </is>
      </c>
      <c r="D39" s="78" t="inlineStr">
        <is>
          <t>File / Template Can Thiệp</t>
        </is>
      </c>
      <c r="E39" s="78" t="inlineStr">
        <is>
          <t>Phương Thức Triển Khai Kỹ Thuật</t>
        </is>
      </c>
      <c r="F39" s="78" t="inlineStr">
        <is>
          <t>Độ Phức Tạp</t>
        </is>
      </c>
      <c r="G39" s="78" t="inlineStr">
        <is>
          <t>Trạng Thái</t>
        </is>
      </c>
    </row>
    <row r="40" ht="28" customHeight="1">
      <c r="A40" s="79" t="n">
        <v>1</v>
      </c>
      <c r="B40" s="80" t="inlineStr">
        <is>
          <t>Dải Cam Kết Dịch Vụ (Trust Badges Row)</t>
        </is>
      </c>
      <c r="C40" s="79" t="inlineStr">
        <is>
          <t>UX Block / Custom HTML</t>
        </is>
      </c>
      <c r="D40" s="80" t="inlineStr">
        <is>
          <t>Flatsome UX Block &amp; style.css</t>
        </is>
      </c>
      <c r="E40" s="80" t="inlineStr">
        <is>
          <t>Đổi màu 4 icon và text nổi bật sang đỏ #d0021b; loại bỏ đường viền xanh ngăn cách, căn chỉnh padding cân đối</t>
        </is>
      </c>
      <c r="F40" s="79" t="inlineStr">
        <is>
          <t>Trung bình</t>
        </is>
      </c>
      <c r="G40" s="83" t="inlineStr">
        <is>
          <t>Chờ thực hiện</t>
        </is>
      </c>
    </row>
    <row r="41" ht="28" customHeight="1">
      <c r="A41" s="79" t="n">
        <v>2</v>
      </c>
      <c r="B41" s="80" t="inlineStr">
        <is>
          <t>Cột 1: Box 4 Showroom &amp; Phương Thức Thanh Toán</t>
        </is>
      </c>
      <c r="C41" s="79" t="inlineStr">
        <is>
          <t>Custom HTML &amp; CSS</t>
        </is>
      </c>
      <c r="D41" s="80" t="inlineStr">
        <is>
          <t>Flatsome UX Block &amp; style.css</t>
        </is>
      </c>
      <c r="E41" s="80" t="inlineStr">
        <is>
          <t>Dựng box 4 showroom có badge đỏ [CS1]-[CS4], thanh tiêu đề xanh đen, hotline &amp; link Google Maps; chèn 4 badge thanh toán ATM, COD, Visa, Trả góp</t>
        </is>
      </c>
      <c r="F41" s="79" t="inlineStr">
        <is>
          <t>Khó</t>
        </is>
      </c>
      <c r="G41" s="83" t="inlineStr">
        <is>
          <t>Chờ thực hiện</t>
        </is>
      </c>
    </row>
    <row r="42" ht="28" customHeight="1">
      <c r="A42" s="79" t="n">
        <v>3</v>
      </c>
      <c r="B42" s="80" t="inlineStr">
        <is>
          <t>Cột 2: Tiện Ích, Pháp Lý, Hotline &amp; Mạng Xã Hội</t>
        </is>
      </c>
      <c r="C42" s="79" t="inlineStr">
        <is>
          <t>Custom HTML &amp; Icons</t>
        </is>
      </c>
      <c r="D42" s="80" t="inlineStr">
        <is>
          <t>Flatsome UX Block &amp; style.css</t>
        </is>
      </c>
      <c r="E42" s="80" t="inlineStr">
        <is>
          <t>Chèn cụm 4 icon tiện ích tròn; thêm dòng ĐKKD; cấu hình 5 đường hotline chuẩn màu (xanh/đỏ) + khung giờ; chèn 5 icon MXH có hover</t>
        </is>
      </c>
      <c r="F42" s="79" t="inlineStr">
        <is>
          <t>Trung bình</t>
        </is>
      </c>
      <c r="G42" s="83" t="inlineStr">
        <is>
          <t>Chờ thực hiện</t>
        </is>
      </c>
    </row>
    <row r="43" ht="28" customHeight="1">
      <c r="A43" s="79" t="n">
        <v>4</v>
      </c>
      <c r="B43" s="80" t="inlineStr">
        <is>
          <t>Cột 3 &amp; 4: Menu Hỗ Trợ, Logo BCT &amp; Form Nhận Tin</t>
        </is>
      </c>
      <c r="C43" s="79" t="inlineStr">
        <is>
          <t>Widgets &amp; Form HTML</t>
        </is>
      </c>
      <c r="D43" s="80" t="inlineStr">
        <is>
          <t>Flatsome Footer / UX Block</t>
        </is>
      </c>
      <c r="E43" s="80" t="inlineStr">
        <is>
          <t>Bổ sung menu Tìm kiếm, Đăng nhập, Giỏ hàng; chèn Logo dấu tích xanh Bộ Công Thương; dựng form email có nút Đăng ký đỏ #d0021b bo góc</t>
        </is>
      </c>
      <c r="F43" s="79" t="inlineStr">
        <is>
          <t>Trung bình</t>
        </is>
      </c>
      <c r="G43" s="83" t="inlineStr">
        <is>
          <t>Chờ thực hiện</t>
        </is>
      </c>
    </row>
    <row r="44" ht="28" customHeight="1">
      <c r="A44" s="79" t="n">
        <v>5</v>
      </c>
      <c r="B44" s="80" t="inlineStr">
        <is>
          <t>Kiểm Thử Responsive Mobile/Tablet &amp; Copyright</t>
        </is>
      </c>
      <c r="C44" s="79" t="inlineStr">
        <is>
          <t>CSS Media Queries &amp; Polish</t>
        </is>
      </c>
      <c r="D44" s="80" t="inlineStr">
        <is>
          <t>flatsome-child/style.css</t>
        </is>
      </c>
      <c r="E44" s="80" t="inlineStr">
        <is>
          <t>Tối ưu hiển thị footer dạng accordion/stack cột trên smartphone; căn chỉnh thanh bản quyền chân trang xám nhạt tinh tế</t>
        </is>
      </c>
      <c r="F44" s="79" t="inlineStr">
        <is>
          <t>Dễ</t>
        </is>
      </c>
      <c r="G44" s="83" t="inlineStr">
        <is>
          <t>Chờ thực hiện</t>
        </is>
      </c>
    </row>
    <row r="46" ht="26" customHeight="1">
      <c r="A46" s="82" t="inlineStr">
        <is>
          <t>V. MA TRẬN BẺ KHỐI &amp; KỸ THUẬT HEADER FLATSOME CHUẨN MẪU (THEO THIẾT KẾ ẢNH 1)</t>
        </is>
      </c>
    </row>
    <row r="47" ht="24" customHeight="1">
      <c r="A47" s="78" t="inlineStr">
        <is>
          <t>STT</t>
        </is>
      </c>
      <c r="B47" s="78" t="inlineStr">
        <is>
          <t>Tên Khối Giao Diện</t>
        </is>
      </c>
      <c r="C47" s="78" t="inlineStr">
        <is>
          <t>Phân Loại Thành Phần</t>
        </is>
      </c>
      <c r="D47" s="78" t="inlineStr">
        <is>
          <t>File / Template Can Thiệp</t>
        </is>
      </c>
      <c r="E47" s="78" t="inlineStr">
        <is>
          <t>Phương Thức Triển Khai Kỹ Thuật</t>
        </is>
      </c>
      <c r="F47" s="78" t="inlineStr">
        <is>
          <t>Độ Phức Tạp</t>
        </is>
      </c>
      <c r="G47" s="78" t="inlineStr">
        <is>
          <t>Trạng Thái</t>
        </is>
      </c>
    </row>
    <row r="48" ht="36" customHeight="1">
      <c r="A48" s="79" t="n">
        <v>1</v>
      </c>
      <c r="B48" s="80" t="inlineStr">
        <is>
          <t>Khắc Phục &amp; Tối Ưu Top Bar (Tầng 1)</t>
        </is>
      </c>
      <c r="C48" s="79" t="inlineStr">
        <is>
          <t>Header Builder &amp; Shortcode</t>
        </is>
      </c>
      <c r="D48" s="80" t="inlineStr">
        <is>
          <t>functions.php &amp; Header Top</t>
        </is>
      </c>
      <c r="E48" s="80" t="inlineStr">
        <is>
          <t>Xử lý lỗi shortcode [gobike_topbar_ticker], bỏ nền xanh lá, đổi sang nền đen (#111111) hoặc đỏ; cấu hình Email, giờ mở cửa &amp; Hotline phân cách mờ</t>
        </is>
      </c>
      <c r="F48" s="79" t="inlineStr">
        <is>
          <t>Trung bình</t>
        </is>
      </c>
      <c r="G48" s="83" t="inlineStr">
        <is>
          <t>Chờ thực hiện</t>
        </is>
      </c>
    </row>
    <row r="49" ht="36" customHeight="1">
      <c r="A49" s="79" t="n">
        <v>2</v>
      </c>
      <c r="B49" s="80" t="inlineStr">
        <is>
          <t>Tùy Biến Thanh Tìm Kiếm Dạng Viên Thuốc (Pill Search)</t>
        </is>
      </c>
      <c r="C49" s="79" t="inlineStr">
        <is>
          <t>Flatsome Search &amp; CSS</t>
        </is>
      </c>
      <c r="D49" s="80" t="inlineStr">
        <is>
          <t>flatsome-child/style.css</t>
        </is>
      </c>
      <c r="E49" s="80" t="inlineStr">
        <is>
          <t>Bo tròn dạng viên thuốc (border-radius: 25px; border: 1.5px solid #222), icon kính lúp góc phải, loại bỏ nút xanh cồng kềnh, tích hợp live search AJAX</t>
        </is>
      </c>
      <c r="F49" s="79" t="inlineStr">
        <is>
          <t>Trung bình</t>
        </is>
      </c>
      <c r="G49" s="83" t="inlineStr">
        <is>
          <t>Chờ thực hiện</t>
        </is>
      </c>
    </row>
    <row r="50" ht="36" customHeight="1">
      <c r="A50" s="79" t="n">
        <v>3</v>
      </c>
      <c r="B50" s="80" t="inlineStr">
        <is>
          <t>Tái Cấu Trúc Cụm 4 Tiện Ích Bên Phải (Minimalist Header Icons)</t>
        </is>
      </c>
      <c r="C50" s="79" t="inlineStr">
        <is>
          <t>Header Elements &amp; CSS</t>
        </is>
      </c>
      <c r="D50" s="80" t="inlineStr">
        <is>
          <t>Flatsome Header &amp; style.css</t>
        </is>
      </c>
      <c r="E50" s="80" t="inlineStr">
        <is>
          <t>Bỏ 4 nút xanh cồng kềnh; chuyển sang phong cách Icon mảnh + Text 2 dòng tinh tế (Hotline Mua hàng, Cửa hàng gần bạn, Tài khoản tròn, Giỏ hàng 0 đ kèm giá)</t>
        </is>
      </c>
      <c r="F50" s="79" t="inlineStr">
        <is>
          <t>Khó</t>
        </is>
      </c>
      <c r="G50" s="83" t="inlineStr">
        <is>
          <t>Chờ thực hiện</t>
        </is>
      </c>
    </row>
    <row r="51" ht="36" customHeight="1">
      <c r="A51" s="79" t="n">
        <v>4</v>
      </c>
      <c r="B51" s="80" t="inlineStr">
        <is>
          <t>Chuẩn Hóa Menu Bar &amp; Khối DANH MỤC (Tầng 3)</t>
        </is>
      </c>
      <c r="C51" s="79" t="inlineStr">
        <is>
          <t>WP Menu &amp; Customizer</t>
        </is>
      </c>
      <c r="D51" s="80" t="inlineStr">
        <is>
          <t>Flatsome Header Bottom &amp; CSS</t>
        </is>
      </c>
      <c r="E51" s="80" t="inlineStr">
        <is>
          <t>Đổi icon Danh mục sang lưới 4 ô vuông ⊞ kèm mũi tên; menu chữ hoa uppercase (Trang chủ, Giới thiệu, Sản phẩm, Tin tức, Liên hệ), thêm line ngăn cách mờ</t>
        </is>
      </c>
      <c r="F51" s="79" t="inlineStr">
        <is>
          <t>Trung bình</t>
        </is>
      </c>
      <c r="G51" s="83" t="inlineStr">
        <is>
          <t>Chờ thực hiện</t>
        </is>
      </c>
    </row>
    <row r="52" ht="36" customHeight="1">
      <c r="A52" s="79" t="n">
        <v>5</v>
      </c>
      <c r="B52" s="80" t="inlineStr">
        <is>
          <t>Kiểm Thử Responsive Mobile Header &amp; Sticky Navigation</t>
        </is>
      </c>
      <c r="C52" s="79" t="inlineStr">
        <is>
          <t>Mobile Header &amp; CSS</t>
        </is>
      </c>
      <c r="D52" s="80" t="inlineStr">
        <is>
          <t>flatsome-child/style.css (Media Queries)</t>
        </is>
      </c>
      <c r="E52" s="80" t="inlineStr">
        <is>
          <t>Tối ưu thanh header dính (sticky header), menu trượt off-canvas mượt mà trên điện thoại, thanh search mobile gọn gàng, tránh tràn viền</t>
        </is>
      </c>
      <c r="F52" s="79" t="inlineStr">
        <is>
          <t>Trung bình</t>
        </is>
      </c>
      <c r="G52" s="83" t="inlineStr">
        <is>
          <t>Chờ thực hiện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2026-09-07T03:09:16Z</dcterms:created>
  <dcterms:modified xmlns:dcterms="http://purl.org/dc/terms/" xmlns:xsi="http://www.w3.org/2001/XMLSchema-instance" xsi:type="dcterms:W3CDTF">2026-09-08T05:00:00Z</dcterms:modified>
</cp:coreProperties>
</file>